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timah/Downloads/Belajar Dashboard pivot chart/material-store-dashboard/"/>
    </mc:Choice>
  </mc:AlternateContent>
  <xr:revisionPtr revIDLastSave="0" documentId="13_ncr:1_{B5952D41-AB54-8540-8A31-46D056DEA8AD}" xr6:coauthVersionLast="47" xr6:coauthVersionMax="47" xr10:uidLastSave="{00000000-0000-0000-0000-000000000000}"/>
  <bookViews>
    <workbookView xWindow="0" yWindow="600" windowWidth="28800" windowHeight="16160" xr2:uid="{867FB9DE-C9F9-49D9-BAA4-0D6237A2D03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" i="3" l="1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J97" i="3" s="1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J49" i="3" s="1"/>
  <c r="G48" i="3"/>
  <c r="G47" i="3"/>
  <c r="G46" i="3"/>
  <c r="G45" i="3"/>
  <c r="G44" i="3"/>
  <c r="G43" i="3"/>
  <c r="J43" i="3" s="1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J25" i="3" s="1"/>
  <c r="G24" i="3"/>
  <c r="G23" i="3"/>
  <c r="G22" i="3"/>
  <c r="G21" i="3"/>
  <c r="G20" i="3"/>
  <c r="G19" i="3"/>
  <c r="J19" i="3" s="1"/>
  <c r="G18" i="3"/>
  <c r="G17" i="3"/>
  <c r="G16" i="3"/>
  <c r="J16" i="3" s="1"/>
  <c r="G15" i="3"/>
  <c r="G14" i="3"/>
  <c r="G13" i="3"/>
  <c r="G12" i="3"/>
  <c r="G11" i="3"/>
  <c r="G10" i="3"/>
  <c r="G9" i="3"/>
  <c r="G8" i="3"/>
  <c r="G7" i="3"/>
  <c r="J7" i="3" s="1"/>
  <c r="G6" i="3"/>
  <c r="G5" i="3"/>
  <c r="G4" i="3"/>
  <c r="G3" i="3"/>
  <c r="I213" i="3"/>
  <c r="J213" i="3" s="1"/>
  <c r="I212" i="3"/>
  <c r="J212" i="3" s="1"/>
  <c r="I211" i="3"/>
  <c r="I210" i="3"/>
  <c r="I209" i="3"/>
  <c r="J209" i="3" s="1"/>
  <c r="I208" i="3"/>
  <c r="J208" i="3" s="1"/>
  <c r="I207" i="3"/>
  <c r="J207" i="3" s="1"/>
  <c r="I206" i="3"/>
  <c r="I205" i="3"/>
  <c r="I204" i="3"/>
  <c r="J204" i="3" s="1"/>
  <c r="I203" i="3"/>
  <c r="I202" i="3"/>
  <c r="J202" i="3" s="1"/>
  <c r="I201" i="3"/>
  <c r="J201" i="3" s="1"/>
  <c r="I200" i="3"/>
  <c r="J199" i="3"/>
  <c r="I199" i="3"/>
  <c r="I198" i="3"/>
  <c r="I197" i="3"/>
  <c r="J197" i="3" s="1"/>
  <c r="I196" i="3"/>
  <c r="I195" i="3"/>
  <c r="J195" i="3" s="1"/>
  <c r="I194" i="3"/>
  <c r="I193" i="3"/>
  <c r="I192" i="3"/>
  <c r="I191" i="3"/>
  <c r="I190" i="3"/>
  <c r="J190" i="3" s="1"/>
  <c r="I189" i="3"/>
  <c r="J189" i="3" s="1"/>
  <c r="I188" i="3"/>
  <c r="J188" i="3" s="1"/>
  <c r="I187" i="3"/>
  <c r="I186" i="3"/>
  <c r="I185" i="3"/>
  <c r="J185" i="3" s="1"/>
  <c r="I184" i="3"/>
  <c r="J184" i="3" s="1"/>
  <c r="I183" i="3"/>
  <c r="J183" i="3" s="1"/>
  <c r="I182" i="3"/>
  <c r="I181" i="3"/>
  <c r="I180" i="3"/>
  <c r="J180" i="3" s="1"/>
  <c r="I179" i="3"/>
  <c r="I178" i="3"/>
  <c r="J178" i="3" s="1"/>
  <c r="I177" i="3"/>
  <c r="J177" i="3" s="1"/>
  <c r="I176" i="3"/>
  <c r="J175" i="3"/>
  <c r="I175" i="3"/>
  <c r="I174" i="3"/>
  <c r="I173" i="3"/>
  <c r="J173" i="3" s="1"/>
  <c r="I172" i="3"/>
  <c r="I171" i="3"/>
  <c r="J171" i="3" s="1"/>
  <c r="I170" i="3"/>
  <c r="I169" i="3"/>
  <c r="I168" i="3"/>
  <c r="I167" i="3"/>
  <c r="I166" i="3"/>
  <c r="J166" i="3" s="1"/>
  <c r="I165" i="3"/>
  <c r="J165" i="3" s="1"/>
  <c r="I164" i="3"/>
  <c r="J164" i="3" s="1"/>
  <c r="I163" i="3"/>
  <c r="I162" i="3"/>
  <c r="I161" i="3"/>
  <c r="J161" i="3" s="1"/>
  <c r="I160" i="3"/>
  <c r="J160" i="3" s="1"/>
  <c r="I159" i="3"/>
  <c r="J159" i="3" s="1"/>
  <c r="I158" i="3"/>
  <c r="I157" i="3"/>
  <c r="I156" i="3"/>
  <c r="J156" i="3" s="1"/>
  <c r="I155" i="3"/>
  <c r="I154" i="3"/>
  <c r="J154" i="3" s="1"/>
  <c r="I153" i="3"/>
  <c r="J153" i="3" s="1"/>
  <c r="I152" i="3"/>
  <c r="J151" i="3"/>
  <c r="I151" i="3"/>
  <c r="I150" i="3"/>
  <c r="I149" i="3"/>
  <c r="J149" i="3" s="1"/>
  <c r="I148" i="3"/>
  <c r="I147" i="3"/>
  <c r="J147" i="3" s="1"/>
  <c r="I146" i="3"/>
  <c r="I145" i="3"/>
  <c r="I144" i="3"/>
  <c r="I143" i="3"/>
  <c r="I142" i="3"/>
  <c r="J142" i="3" s="1"/>
  <c r="I141" i="3"/>
  <c r="J141" i="3" s="1"/>
  <c r="I140" i="3"/>
  <c r="J140" i="3" s="1"/>
  <c r="I139" i="3"/>
  <c r="I138" i="3"/>
  <c r="I137" i="3"/>
  <c r="J137" i="3" s="1"/>
  <c r="I136" i="3"/>
  <c r="J136" i="3" s="1"/>
  <c r="I135" i="3"/>
  <c r="J135" i="3" s="1"/>
  <c r="I134" i="3"/>
  <c r="I133" i="3"/>
  <c r="I132" i="3"/>
  <c r="J132" i="3" s="1"/>
  <c r="I131" i="3"/>
  <c r="I130" i="3"/>
  <c r="J130" i="3" s="1"/>
  <c r="I129" i="3"/>
  <c r="J129" i="3" s="1"/>
  <c r="I128" i="3"/>
  <c r="J127" i="3"/>
  <c r="I127" i="3"/>
  <c r="I126" i="3"/>
  <c r="I125" i="3"/>
  <c r="J125" i="3" s="1"/>
  <c r="I124" i="3"/>
  <c r="I123" i="3"/>
  <c r="J123" i="3" s="1"/>
  <c r="I122" i="3"/>
  <c r="I121" i="3"/>
  <c r="I120" i="3"/>
  <c r="I119" i="3"/>
  <c r="I118" i="3"/>
  <c r="J118" i="3" s="1"/>
  <c r="I117" i="3"/>
  <c r="J117" i="3" s="1"/>
  <c r="I116" i="3"/>
  <c r="J116" i="3" s="1"/>
  <c r="I115" i="3"/>
  <c r="I114" i="3"/>
  <c r="J114" i="3" s="1"/>
  <c r="I113" i="3"/>
  <c r="J113" i="3" s="1"/>
  <c r="I112" i="3"/>
  <c r="J112" i="3" s="1"/>
  <c r="I111" i="3"/>
  <c r="J111" i="3" s="1"/>
  <c r="I110" i="3"/>
  <c r="J109" i="3"/>
  <c r="I109" i="3"/>
  <c r="I108" i="3"/>
  <c r="J108" i="3" s="1"/>
  <c r="I107" i="3"/>
  <c r="I106" i="3"/>
  <c r="J106" i="3" s="1"/>
  <c r="I105" i="3"/>
  <c r="J105" i="3" s="1"/>
  <c r="I104" i="3"/>
  <c r="J104" i="3" s="1"/>
  <c r="I103" i="3"/>
  <c r="J103" i="3" s="1"/>
  <c r="I102" i="3"/>
  <c r="I101" i="3"/>
  <c r="J101" i="3" s="1"/>
  <c r="I100" i="3"/>
  <c r="I99" i="3"/>
  <c r="J99" i="3" s="1"/>
  <c r="I98" i="3"/>
  <c r="I97" i="3"/>
  <c r="I96" i="3"/>
  <c r="I95" i="3"/>
  <c r="I94" i="3"/>
  <c r="J94" i="3" s="1"/>
  <c r="I93" i="3"/>
  <c r="J93" i="3" s="1"/>
  <c r="I92" i="3"/>
  <c r="J92" i="3" s="1"/>
  <c r="I91" i="3"/>
  <c r="I90" i="3"/>
  <c r="J90" i="3" s="1"/>
  <c r="I89" i="3"/>
  <c r="I88" i="3"/>
  <c r="J88" i="3" s="1"/>
  <c r="I87" i="3"/>
  <c r="J87" i="3" s="1"/>
  <c r="I86" i="3"/>
  <c r="I85" i="3"/>
  <c r="J85" i="3" s="1"/>
  <c r="I84" i="3"/>
  <c r="J84" i="3" s="1"/>
  <c r="I83" i="3"/>
  <c r="I82" i="3"/>
  <c r="J82" i="3" s="1"/>
  <c r="I81" i="3"/>
  <c r="J81" i="3" s="1"/>
  <c r="I80" i="3"/>
  <c r="J79" i="3"/>
  <c r="I79" i="3"/>
  <c r="I78" i="3"/>
  <c r="I77" i="3"/>
  <c r="J77" i="3" s="1"/>
  <c r="I76" i="3"/>
  <c r="I75" i="3"/>
  <c r="J75" i="3" s="1"/>
  <c r="I74" i="3"/>
  <c r="I73" i="3"/>
  <c r="I72" i="3"/>
  <c r="I71" i="3"/>
  <c r="I70" i="3"/>
  <c r="J70" i="3" s="1"/>
  <c r="I69" i="3"/>
  <c r="J69" i="3" s="1"/>
  <c r="I68" i="3"/>
  <c r="J68" i="3" s="1"/>
  <c r="I67" i="3"/>
  <c r="I66" i="3"/>
  <c r="I65" i="3"/>
  <c r="I64" i="3"/>
  <c r="J64" i="3" s="1"/>
  <c r="I63" i="3"/>
  <c r="J63" i="3" s="1"/>
  <c r="I62" i="3"/>
  <c r="J61" i="3"/>
  <c r="I61" i="3"/>
  <c r="I60" i="3"/>
  <c r="J60" i="3" s="1"/>
  <c r="I59" i="3"/>
  <c r="I58" i="3"/>
  <c r="J58" i="3" s="1"/>
  <c r="J57" i="3"/>
  <c r="I57" i="3"/>
  <c r="I56" i="3"/>
  <c r="J56" i="3" s="1"/>
  <c r="I55" i="3"/>
  <c r="J55" i="3" s="1"/>
  <c r="I54" i="3"/>
  <c r="I53" i="3"/>
  <c r="J53" i="3" s="1"/>
  <c r="I52" i="3"/>
  <c r="J51" i="3"/>
  <c r="I51" i="3"/>
  <c r="I50" i="3"/>
  <c r="I49" i="3"/>
  <c r="I48" i="3"/>
  <c r="I47" i="3"/>
  <c r="I46" i="3"/>
  <c r="J46" i="3" s="1"/>
  <c r="J45" i="3"/>
  <c r="I45" i="3"/>
  <c r="I44" i="3"/>
  <c r="J44" i="3" s="1"/>
  <c r="I43" i="3"/>
  <c r="I42" i="3"/>
  <c r="I41" i="3"/>
  <c r="I40" i="3"/>
  <c r="J40" i="3" s="1"/>
  <c r="J39" i="3"/>
  <c r="I39" i="3"/>
  <c r="I38" i="3"/>
  <c r="I37" i="3"/>
  <c r="J37" i="3" s="1"/>
  <c r="I36" i="3"/>
  <c r="J36" i="3" s="1"/>
  <c r="I35" i="3"/>
  <c r="I34" i="3"/>
  <c r="J34" i="3" s="1"/>
  <c r="I33" i="3"/>
  <c r="J33" i="3" s="1"/>
  <c r="I32" i="3"/>
  <c r="I31" i="3"/>
  <c r="J31" i="3" s="1"/>
  <c r="I30" i="3"/>
  <c r="I29" i="3"/>
  <c r="J29" i="3" s="1"/>
  <c r="I28" i="3"/>
  <c r="I27" i="3"/>
  <c r="J27" i="3" s="1"/>
  <c r="I26" i="3"/>
  <c r="I25" i="3"/>
  <c r="I24" i="3"/>
  <c r="I23" i="3"/>
  <c r="I22" i="3"/>
  <c r="J22" i="3" s="1"/>
  <c r="I21" i="3"/>
  <c r="J21" i="3" s="1"/>
  <c r="I20" i="3"/>
  <c r="J20" i="3" s="1"/>
  <c r="I19" i="3"/>
  <c r="I18" i="3"/>
  <c r="I17" i="3"/>
  <c r="I16" i="3"/>
  <c r="J15" i="3"/>
  <c r="I15" i="3"/>
  <c r="I14" i="3"/>
  <c r="J14" i="3" s="1"/>
  <c r="I13" i="3"/>
  <c r="I12" i="3"/>
  <c r="J12" i="3" s="1"/>
  <c r="I11" i="3"/>
  <c r="I10" i="3"/>
  <c r="J10" i="3" s="1"/>
  <c r="J9" i="3"/>
  <c r="I9" i="3"/>
  <c r="I8" i="3"/>
  <c r="J8" i="3" s="1"/>
  <c r="I7" i="3"/>
  <c r="I6" i="3"/>
  <c r="I5" i="3"/>
  <c r="J5" i="3" s="1"/>
  <c r="I4" i="3"/>
  <c r="I3" i="3"/>
  <c r="J3" i="3" s="1"/>
  <c r="I2" i="3"/>
  <c r="J2" i="3" s="1"/>
  <c r="G2" i="3"/>
  <c r="J96" i="3" l="1"/>
  <c r="J80" i="3"/>
  <c r="J120" i="3"/>
  <c r="J138" i="3"/>
  <c r="J144" i="3"/>
  <c r="J162" i="3"/>
  <c r="J168" i="3"/>
  <c r="J192" i="3"/>
  <c r="J128" i="3"/>
  <c r="J152" i="3"/>
  <c r="J176" i="3"/>
  <c r="J200" i="3"/>
  <c r="J145" i="3"/>
  <c r="J169" i="3"/>
  <c r="J67" i="3"/>
  <c r="J91" i="3"/>
  <c r="J115" i="3"/>
  <c r="J139" i="3"/>
  <c r="J163" i="3"/>
  <c r="J187" i="3"/>
  <c r="J73" i="3"/>
  <c r="J121" i="3"/>
  <c r="J193" i="3"/>
  <c r="J17" i="3"/>
  <c r="J24" i="3"/>
  <c r="J48" i="3"/>
  <c r="J65" i="3"/>
  <c r="J4" i="3"/>
  <c r="J28" i="3"/>
  <c r="J52" i="3"/>
  <c r="J76" i="3"/>
  <c r="J100" i="3"/>
  <c r="J124" i="3"/>
  <c r="J148" i="3"/>
  <c r="J172" i="3"/>
  <c r="J196" i="3"/>
  <c r="J18" i="3"/>
  <c r="J41" i="3"/>
  <c r="J6" i="3"/>
  <c r="J42" i="3"/>
  <c r="J32" i="3"/>
  <c r="J66" i="3"/>
  <c r="J72" i="3"/>
  <c r="J89" i="3"/>
  <c r="J13" i="3"/>
  <c r="J133" i="3"/>
  <c r="J157" i="3"/>
  <c r="J181" i="3"/>
  <c r="J205" i="3"/>
  <c r="J122" i="3"/>
  <c r="J146" i="3"/>
  <c r="J170" i="3"/>
  <c r="J186" i="3"/>
  <c r="J194" i="3"/>
  <c r="J210" i="3"/>
  <c r="J26" i="3"/>
  <c r="J50" i="3"/>
  <c r="J74" i="3"/>
  <c r="J98" i="3"/>
  <c r="J211" i="3"/>
  <c r="J30" i="3"/>
  <c r="J38" i="3"/>
  <c r="J54" i="3"/>
  <c r="J62" i="3"/>
  <c r="J78" i="3"/>
  <c r="J86" i="3"/>
  <c r="J102" i="3"/>
  <c r="J110" i="3"/>
  <c r="J126" i="3"/>
  <c r="J134" i="3"/>
  <c r="J150" i="3"/>
  <c r="J158" i="3"/>
  <c r="J174" i="3"/>
  <c r="J182" i="3"/>
  <c r="J198" i="3"/>
  <c r="J206" i="3"/>
  <c r="J11" i="3"/>
  <c r="J35" i="3"/>
  <c r="J59" i="3"/>
  <c r="J83" i="3"/>
  <c r="J131" i="3"/>
  <c r="J155" i="3"/>
  <c r="J179" i="3"/>
  <c r="J203" i="3"/>
  <c r="J107" i="3"/>
  <c r="J23" i="3"/>
  <c r="J71" i="3"/>
  <c r="J95" i="3"/>
  <c r="J119" i="3"/>
  <c r="J143" i="3"/>
  <c r="J167" i="3"/>
  <c r="J191" i="3"/>
  <c r="J47" i="3"/>
</calcChain>
</file>

<file path=xl/sharedStrings.xml><?xml version="1.0" encoding="utf-8"?>
<sst xmlns="http://schemas.openxmlformats.org/spreadsheetml/2006/main" count="646" uniqueCount="19">
  <si>
    <t>Pasir</t>
  </si>
  <si>
    <t>Volume</t>
  </si>
  <si>
    <t>Kerikil</t>
  </si>
  <si>
    <t>Tanggal</t>
  </si>
  <si>
    <t>Material</t>
  </si>
  <si>
    <t>Total pembelian</t>
  </si>
  <si>
    <t>Harga satuan pembelian</t>
  </si>
  <si>
    <t>Harga satuan penjualan</t>
  </si>
  <si>
    <t>Total Penjualan</t>
  </si>
  <si>
    <t>Laba</t>
  </si>
  <si>
    <t>Batu Kali</t>
  </si>
  <si>
    <t>Sales</t>
  </si>
  <si>
    <t>Tono</t>
  </si>
  <si>
    <t>Rudi</t>
  </si>
  <si>
    <t>Sumber Material</t>
  </si>
  <si>
    <t>Gunung Merapi</t>
  </si>
  <si>
    <t>Magelang</t>
  </si>
  <si>
    <t>Temanggung</t>
  </si>
  <si>
    <t>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</si>
</sst>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41" fontId="0" fillId="0" borderId="0" xfId="0" applyNumberFormat="1"/>
    <xf numFmtId="14" fontId="0" fillId="0" borderId="0" xfId="0" applyNumberFormat="1"/>
  </cellXfs>
  <cellStyles count="2">
    <cellStyle name="Comma [0]" xfId="1" builtinId="6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/mm/yyyy"/>
    </dxf>
    <dxf>
      <numFmt numFmtId="164" formatCode="dd/mm/yyyy"/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38EF1-6551-45D4-8224-C8D5F54CA8C7}" name="Table1" displayName="Table1" ref="A1:J213" totalsRowShown="0" dataDxfId="11" dataCellStyle="Comma [0]">
  <autoFilter ref="A1:J213" xr:uid="{8A9CB7EA-543F-41DE-9127-DD9E55DC0FBD}"/>
  <tableColumns count="10">
    <tableColumn id="1" xr3:uid="{629E95FD-008E-4201-85B4-A67C935FBD29}" name="Tanggal" dataDxfId="10"/>
    <tableColumn id="9" xr3:uid="{FCD45292-ECE0-445E-AB5C-16876393BAC8}" name="Sales" dataDxfId="9"/>
    <tableColumn id="10" xr3:uid="{9F24660C-C3EA-437B-974E-7AD8D4E955A8}" name="Sumber Material" dataDxfId="8"/>
    <tableColumn id="2" xr3:uid="{F0CFDC41-FC5B-4907-B1BC-856C2E7756C7}" name="Material"/>
    <tableColumn id="3" xr3:uid="{03F3C775-2176-4BA5-B5E8-966294F020B9}" name="Volume" dataDxfId="7" dataCellStyle="Comma [0]"/>
    <tableColumn id="4" xr3:uid="{1D6880B8-5F09-4BE7-9690-FBF46E9F4A43}" name="Harga satuan pembelian" dataDxfId="6" dataCellStyle="Comma [0]"/>
    <tableColumn id="5" xr3:uid="{B95AC649-4FA9-4507-A7E5-2977C4CF3192}" name="Total pembelian" dataDxfId="5" dataCellStyle="Comma [0]">
      <calculatedColumnFormula>Table1[[#This Row],[Volume]]*Table1[[#This Row],[Harga satuan pembelian]]</calculatedColumnFormula>
    </tableColumn>
    <tableColumn id="6" xr3:uid="{DA1E4982-2804-4042-8877-DD1ECAF64428}" name="Harga satuan penjualan" dataDxfId="4" dataCellStyle="Comma [0]"/>
    <tableColumn id="7" xr3:uid="{A34A7BB4-D0AE-4643-8B8D-F44E00C250AC}" name="Total Penjualan" dataDxfId="3" dataCellStyle="Comma [0]">
      <calculatedColumnFormula>Table1[[#This Row],[Harga satuan penjualan]]*Table1[[#This Row],[Volume]]</calculatedColumnFormula>
    </tableColumn>
    <tableColumn id="8" xr3:uid="{3A84FA74-F1DD-41E5-A5DE-880D5C3B2B1B}" name="Laba" dataDxfId="2" dataCellStyle="Comma [0]">
      <calculatedColumnFormula>Table1[[#This Row],[Total Penjualan]]-Table1[[#This Row],[Total pembelian]]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15DA-BAAD-460E-B04B-10B1928C3D34}">
  <dimension ref="A1:L213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0.5" bestFit="1" customWidth="1"/>
    <col min="2" max="2" width="10.5" customWidth="1"/>
    <col min="3" max="3" width="17.33203125" bestFit="1" customWidth="1"/>
    <col min="4" max="4" width="9.83203125" customWidth="1"/>
    <col min="5" max="5" width="9.5" style="1" customWidth="1"/>
    <col min="6" max="6" width="23.1640625" style="1" customWidth="1"/>
    <col min="7" max="7" width="16.5" style="1" customWidth="1"/>
    <col min="8" max="8" width="22.83203125" style="1" customWidth="1"/>
    <col min="9" max="9" width="16" style="1" customWidth="1"/>
    <col min="10" max="10" width="11.33203125" style="1" customWidth="1"/>
  </cols>
  <sheetData>
    <row r="1" spans="1:12" x14ac:dyDescent="0.2">
      <c r="A1" t="s">
        <v>3</v>
      </c>
      <c r="B1" t="s">
        <v>11</v>
      </c>
      <c r="C1" t="s">
        <v>14</v>
      </c>
      <c r="D1" t="s">
        <v>4</v>
      </c>
      <c r="E1" t="s">
        <v>1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2" x14ac:dyDescent="0.2">
      <c r="A2" s="3">
        <v>45658</v>
      </c>
      <c r="B2" s="3" t="s">
        <v>18</v>
      </c>
      <c r="C2" s="3" t="s">
        <v>15</v>
      </c>
      <c r="D2" t="s">
        <v>0</v>
      </c>
      <c r="E2" s="1">
        <v>80</v>
      </c>
      <c r="F2" s="1">
        <v>195000</v>
      </c>
      <c r="G2" s="1">
        <f>Table1[[#This Row],[Volume]]*Table1[[#This Row],[Harga satuan pembelian]]</f>
        <v>15600000</v>
      </c>
      <c r="H2" s="1">
        <v>225000</v>
      </c>
      <c r="I2" s="1">
        <f>Table1[[#This Row],[Harga satuan penjualan]]*Table1[[#This Row],[Volume]]</f>
        <v>18000000</v>
      </c>
      <c r="J2" s="1">
        <f>Table1[[#This Row],[Total Penjualan]]-Table1[[#This Row],[Total pembelian]]</f>
        <v>2400000</v>
      </c>
      <c r="L2" s="2"/>
    </row>
    <row r="3" spans="1:12" x14ac:dyDescent="0.2">
      <c r="A3" s="3">
        <v>45659</v>
      </c>
      <c r="B3" s="3" t="s">
        <v>18</v>
      </c>
      <c r="C3" s="3" t="s">
        <v>15</v>
      </c>
      <c r="D3" t="s">
        <v>10</v>
      </c>
      <c r="E3" s="1">
        <v>50</v>
      </c>
      <c r="F3" s="1">
        <v>115000</v>
      </c>
      <c r="G3" s="1">
        <f>Table1[[#This Row],[Volume]]*Table1[[#This Row],[Harga satuan pembelian]]</f>
        <v>5750000</v>
      </c>
      <c r="H3" s="1">
        <v>210000</v>
      </c>
      <c r="I3" s="1">
        <f>Table1[[#This Row],[Harga satuan penjualan]]*Table1[[#This Row],[Volume]]</f>
        <v>10500000</v>
      </c>
      <c r="J3" s="1">
        <f>Table1[[#This Row],[Total Penjualan]]-Table1[[#This Row],[Total pembelian]]</f>
        <v>4750000</v>
      </c>
      <c r="L3" s="2"/>
    </row>
    <row r="4" spans="1:12" x14ac:dyDescent="0.2">
      <c r="A4" s="3">
        <v>45660</v>
      </c>
      <c r="B4" s="3" t="s">
        <v>18</v>
      </c>
      <c r="C4" s="3" t="s">
        <v>15</v>
      </c>
      <c r="D4" t="s">
        <v>2</v>
      </c>
      <c r="E4" s="1">
        <v>60</v>
      </c>
      <c r="F4" s="1">
        <v>135000</v>
      </c>
      <c r="G4" s="1">
        <f>Table1[[#This Row],[Volume]]*Table1[[#This Row],[Harga satuan pembelian]]</f>
        <v>8100000</v>
      </c>
      <c r="H4" s="1">
        <v>210000</v>
      </c>
      <c r="I4" s="1">
        <f>Table1[[#This Row],[Harga satuan penjualan]]*Table1[[#This Row],[Volume]]</f>
        <v>12600000</v>
      </c>
      <c r="J4" s="1">
        <f>Table1[[#This Row],[Total Penjualan]]-Table1[[#This Row],[Total pembelian]]</f>
        <v>4500000</v>
      </c>
      <c r="L4" s="2"/>
    </row>
    <row r="5" spans="1:12" x14ac:dyDescent="0.2">
      <c r="A5" s="3">
        <v>45661</v>
      </c>
      <c r="B5" s="3" t="s">
        <v>18</v>
      </c>
      <c r="C5" s="3" t="s">
        <v>15</v>
      </c>
      <c r="D5" t="s">
        <v>0</v>
      </c>
      <c r="E5" s="1">
        <v>50</v>
      </c>
      <c r="F5" s="1">
        <v>145000</v>
      </c>
      <c r="G5" s="1">
        <f>Table1[[#This Row],[Volume]]*Table1[[#This Row],[Harga satuan pembelian]]</f>
        <v>7250000</v>
      </c>
      <c r="H5" s="1">
        <v>225000</v>
      </c>
      <c r="I5" s="1">
        <f>Table1[[#This Row],[Harga satuan penjualan]]*Table1[[#This Row],[Volume]]</f>
        <v>11250000</v>
      </c>
      <c r="J5" s="1">
        <f>Table1[[#This Row],[Total Penjualan]]-Table1[[#This Row],[Total pembelian]]</f>
        <v>4000000</v>
      </c>
      <c r="L5" s="2"/>
    </row>
    <row r="6" spans="1:12" x14ac:dyDescent="0.2">
      <c r="A6" s="3">
        <v>45662</v>
      </c>
      <c r="B6" s="3" t="s">
        <v>18</v>
      </c>
      <c r="C6" s="3" t="s">
        <v>15</v>
      </c>
      <c r="D6" t="s">
        <v>10</v>
      </c>
      <c r="E6" s="1">
        <v>80</v>
      </c>
      <c r="F6" s="1">
        <v>155000</v>
      </c>
      <c r="G6" s="1">
        <f>Table1[[#This Row],[Volume]]*Table1[[#This Row],[Harga satuan pembelian]]</f>
        <v>12400000</v>
      </c>
      <c r="H6" s="1">
        <v>210000</v>
      </c>
      <c r="I6" s="1">
        <f>Table1[[#This Row],[Harga satuan penjualan]]*Table1[[#This Row],[Volume]]</f>
        <v>16800000</v>
      </c>
      <c r="J6" s="1">
        <f>Table1[[#This Row],[Total Penjualan]]-Table1[[#This Row],[Total pembelian]]</f>
        <v>4400000</v>
      </c>
      <c r="L6" s="2"/>
    </row>
    <row r="7" spans="1:12" x14ac:dyDescent="0.2">
      <c r="A7" s="3">
        <v>45663</v>
      </c>
      <c r="B7" s="3" t="s">
        <v>18</v>
      </c>
      <c r="C7" s="3" t="s">
        <v>15</v>
      </c>
      <c r="D7" t="s">
        <v>2</v>
      </c>
      <c r="E7" s="1">
        <v>80</v>
      </c>
      <c r="F7" s="1">
        <v>85000</v>
      </c>
      <c r="G7" s="1">
        <f>Table1[[#This Row],[Volume]]*Table1[[#This Row],[Harga satuan pembelian]]</f>
        <v>6800000</v>
      </c>
      <c r="H7" s="1">
        <v>210000</v>
      </c>
      <c r="I7" s="1">
        <f>Table1[[#This Row],[Harga satuan penjualan]]*Table1[[#This Row],[Volume]]</f>
        <v>16800000</v>
      </c>
      <c r="J7" s="1">
        <f>Table1[[#This Row],[Total Penjualan]]-Table1[[#This Row],[Total pembelian]]</f>
        <v>10000000</v>
      </c>
      <c r="L7" s="2"/>
    </row>
    <row r="8" spans="1:12" x14ac:dyDescent="0.2">
      <c r="A8" s="3">
        <v>45664</v>
      </c>
      <c r="B8" s="3" t="s">
        <v>18</v>
      </c>
      <c r="C8" s="3" t="s">
        <v>15</v>
      </c>
      <c r="D8" t="s">
        <v>0</v>
      </c>
      <c r="E8" s="1">
        <v>60</v>
      </c>
      <c r="F8" s="1">
        <v>165000</v>
      </c>
      <c r="G8" s="1">
        <f>Table1[[#This Row],[Volume]]*Table1[[#This Row],[Harga satuan pembelian]]</f>
        <v>9900000</v>
      </c>
      <c r="H8" s="1">
        <v>225000</v>
      </c>
      <c r="I8" s="1">
        <f>Table1[[#This Row],[Harga satuan penjualan]]*Table1[[#This Row],[Volume]]</f>
        <v>13500000</v>
      </c>
      <c r="J8" s="1">
        <f>Table1[[#This Row],[Total Penjualan]]-Table1[[#This Row],[Total pembelian]]</f>
        <v>3600000</v>
      </c>
      <c r="L8" s="2"/>
    </row>
    <row r="9" spans="1:12" x14ac:dyDescent="0.2">
      <c r="A9" s="3">
        <v>45665</v>
      </c>
      <c r="B9" s="3" t="s">
        <v>12</v>
      </c>
      <c r="C9" s="3" t="s">
        <v>15</v>
      </c>
      <c r="D9" t="s">
        <v>10</v>
      </c>
      <c r="E9" s="1">
        <v>40</v>
      </c>
      <c r="F9" s="1">
        <v>145000</v>
      </c>
      <c r="G9" s="1">
        <f>Table1[[#This Row],[Volume]]*Table1[[#This Row],[Harga satuan pembelian]]</f>
        <v>5800000</v>
      </c>
      <c r="H9" s="1">
        <v>210000</v>
      </c>
      <c r="I9" s="1">
        <f>Table1[[#This Row],[Harga satuan penjualan]]*Table1[[#This Row],[Volume]]</f>
        <v>8400000</v>
      </c>
      <c r="J9" s="1">
        <f>Table1[[#This Row],[Total Penjualan]]-Table1[[#This Row],[Total pembelian]]</f>
        <v>2600000</v>
      </c>
      <c r="L9" s="2"/>
    </row>
    <row r="10" spans="1:12" x14ac:dyDescent="0.2">
      <c r="A10" s="3">
        <v>45666</v>
      </c>
      <c r="B10" s="3" t="s">
        <v>13</v>
      </c>
      <c r="C10" s="3" t="s">
        <v>15</v>
      </c>
      <c r="D10" t="s">
        <v>2</v>
      </c>
      <c r="E10" s="1">
        <v>40</v>
      </c>
      <c r="F10" s="1">
        <v>115000</v>
      </c>
      <c r="G10" s="1">
        <f>Table1[[#This Row],[Volume]]*Table1[[#This Row],[Harga satuan pembelian]]</f>
        <v>4600000</v>
      </c>
      <c r="H10" s="1">
        <v>210000</v>
      </c>
      <c r="I10" s="1">
        <f>Table1[[#This Row],[Harga satuan penjualan]]*Table1[[#This Row],[Volume]]</f>
        <v>8400000</v>
      </c>
      <c r="J10" s="1">
        <f>Table1[[#This Row],[Total Penjualan]]-Table1[[#This Row],[Total pembelian]]</f>
        <v>3800000</v>
      </c>
      <c r="L10" s="2"/>
    </row>
    <row r="11" spans="1:12" x14ac:dyDescent="0.2">
      <c r="A11" s="3">
        <v>45667</v>
      </c>
      <c r="B11" s="3" t="s">
        <v>13</v>
      </c>
      <c r="C11" s="3" t="s">
        <v>15</v>
      </c>
      <c r="D11" t="s">
        <v>0</v>
      </c>
      <c r="E11" s="1">
        <v>80</v>
      </c>
      <c r="F11" s="1">
        <v>95000</v>
      </c>
      <c r="G11" s="1">
        <f>Table1[[#This Row],[Volume]]*Table1[[#This Row],[Harga satuan pembelian]]</f>
        <v>7600000</v>
      </c>
      <c r="H11" s="1">
        <v>225000</v>
      </c>
      <c r="I11" s="1">
        <f>Table1[[#This Row],[Harga satuan penjualan]]*Table1[[#This Row],[Volume]]</f>
        <v>18000000</v>
      </c>
      <c r="J11" s="1">
        <f>Table1[[#This Row],[Total Penjualan]]-Table1[[#This Row],[Total pembelian]]</f>
        <v>10400000</v>
      </c>
      <c r="L11" s="2"/>
    </row>
    <row r="12" spans="1:12" x14ac:dyDescent="0.2">
      <c r="A12" s="3">
        <v>45668</v>
      </c>
      <c r="B12" s="3" t="s">
        <v>18</v>
      </c>
      <c r="C12" s="3" t="s">
        <v>15</v>
      </c>
      <c r="D12" t="s">
        <v>10</v>
      </c>
      <c r="E12" s="1">
        <v>80</v>
      </c>
      <c r="F12" s="1">
        <v>95000</v>
      </c>
      <c r="G12" s="1">
        <f>Table1[[#This Row],[Volume]]*Table1[[#This Row],[Harga satuan pembelian]]</f>
        <v>7600000</v>
      </c>
      <c r="H12" s="1">
        <v>210000</v>
      </c>
      <c r="I12" s="1">
        <f>Table1[[#This Row],[Harga satuan penjualan]]*Table1[[#This Row],[Volume]]</f>
        <v>16800000</v>
      </c>
      <c r="J12" s="1">
        <f>Table1[[#This Row],[Total Penjualan]]-Table1[[#This Row],[Total pembelian]]</f>
        <v>9200000</v>
      </c>
      <c r="L12" s="2"/>
    </row>
    <row r="13" spans="1:12" x14ac:dyDescent="0.2">
      <c r="A13" s="3">
        <v>45669</v>
      </c>
      <c r="B13" s="3" t="s">
        <v>18</v>
      </c>
      <c r="C13" s="3" t="s">
        <v>15</v>
      </c>
      <c r="D13" t="s">
        <v>2</v>
      </c>
      <c r="E13" s="1">
        <v>70</v>
      </c>
      <c r="F13" s="1">
        <v>125000</v>
      </c>
      <c r="G13" s="1">
        <f>Table1[[#This Row],[Volume]]*Table1[[#This Row],[Harga satuan pembelian]]</f>
        <v>8750000</v>
      </c>
      <c r="H13" s="1">
        <v>210000</v>
      </c>
      <c r="I13" s="1">
        <f>Table1[[#This Row],[Harga satuan penjualan]]*Table1[[#This Row],[Volume]]</f>
        <v>14700000</v>
      </c>
      <c r="J13" s="1">
        <f>Table1[[#This Row],[Total Penjualan]]-Table1[[#This Row],[Total pembelian]]</f>
        <v>5950000</v>
      </c>
      <c r="L13" s="2"/>
    </row>
    <row r="14" spans="1:12" x14ac:dyDescent="0.2">
      <c r="A14" s="3">
        <v>45670</v>
      </c>
      <c r="B14" s="3" t="s">
        <v>18</v>
      </c>
      <c r="C14" s="3" t="s">
        <v>16</v>
      </c>
      <c r="D14" t="s">
        <v>0</v>
      </c>
      <c r="E14" s="1">
        <v>50</v>
      </c>
      <c r="F14" s="1">
        <v>185000</v>
      </c>
      <c r="G14" s="1">
        <f>Table1[[#This Row],[Volume]]*Table1[[#This Row],[Harga satuan pembelian]]</f>
        <v>9250000</v>
      </c>
      <c r="H14" s="1">
        <v>225000</v>
      </c>
      <c r="I14" s="1">
        <f>Table1[[#This Row],[Harga satuan penjualan]]*Table1[[#This Row],[Volume]]</f>
        <v>11250000</v>
      </c>
      <c r="J14" s="1">
        <f>Table1[[#This Row],[Total Penjualan]]-Table1[[#This Row],[Total pembelian]]</f>
        <v>2000000</v>
      </c>
      <c r="L14" s="2"/>
    </row>
    <row r="15" spans="1:12" x14ac:dyDescent="0.2">
      <c r="A15" s="3">
        <v>45671</v>
      </c>
      <c r="B15" s="3" t="s">
        <v>18</v>
      </c>
      <c r="C15" s="3" t="s">
        <v>16</v>
      </c>
      <c r="D15" t="s">
        <v>10</v>
      </c>
      <c r="E15" s="1">
        <v>50</v>
      </c>
      <c r="F15" s="1">
        <v>155000</v>
      </c>
      <c r="G15" s="1">
        <f>Table1[[#This Row],[Volume]]*Table1[[#This Row],[Harga satuan pembelian]]</f>
        <v>7750000</v>
      </c>
      <c r="H15" s="1">
        <v>210000</v>
      </c>
      <c r="I15" s="1">
        <f>Table1[[#This Row],[Harga satuan penjualan]]*Table1[[#This Row],[Volume]]</f>
        <v>10500000</v>
      </c>
      <c r="J15" s="1">
        <f>Table1[[#This Row],[Total Penjualan]]-Table1[[#This Row],[Total pembelian]]</f>
        <v>2750000</v>
      </c>
      <c r="L15" s="2"/>
    </row>
    <row r="16" spans="1:12" x14ac:dyDescent="0.2">
      <c r="A16" s="3">
        <v>45672</v>
      </c>
      <c r="B16" s="3" t="s">
        <v>18</v>
      </c>
      <c r="C16" s="3" t="s">
        <v>16</v>
      </c>
      <c r="D16" t="s">
        <v>2</v>
      </c>
      <c r="E16" s="1">
        <v>80</v>
      </c>
      <c r="F16" s="1">
        <v>105000</v>
      </c>
      <c r="G16" s="1">
        <f>Table1[[#This Row],[Volume]]*Table1[[#This Row],[Harga satuan pembelian]]</f>
        <v>8400000</v>
      </c>
      <c r="H16" s="1">
        <v>210000</v>
      </c>
      <c r="I16" s="1">
        <f>Table1[[#This Row],[Harga satuan penjualan]]*Table1[[#This Row],[Volume]]</f>
        <v>16800000</v>
      </c>
      <c r="J16" s="1">
        <f>Table1[[#This Row],[Total Penjualan]]-Table1[[#This Row],[Total pembelian]]</f>
        <v>8400000</v>
      </c>
      <c r="L16" s="2"/>
    </row>
    <row r="17" spans="1:12" x14ac:dyDescent="0.2">
      <c r="A17" s="3">
        <v>45673</v>
      </c>
      <c r="B17" s="3" t="s">
        <v>18</v>
      </c>
      <c r="C17" s="3" t="s">
        <v>16</v>
      </c>
      <c r="D17" t="s">
        <v>0</v>
      </c>
      <c r="E17" s="1">
        <v>50</v>
      </c>
      <c r="F17" s="1">
        <v>195000</v>
      </c>
      <c r="G17" s="1">
        <f>Table1[[#This Row],[Volume]]*Table1[[#This Row],[Harga satuan pembelian]]</f>
        <v>9750000</v>
      </c>
      <c r="H17" s="1">
        <v>225000</v>
      </c>
      <c r="I17" s="1">
        <f>Table1[[#This Row],[Harga satuan penjualan]]*Table1[[#This Row],[Volume]]</f>
        <v>11250000</v>
      </c>
      <c r="J17" s="1">
        <f>Table1[[#This Row],[Total Penjualan]]-Table1[[#This Row],[Total pembelian]]</f>
        <v>1500000</v>
      </c>
      <c r="L17" s="2"/>
    </row>
    <row r="18" spans="1:12" x14ac:dyDescent="0.2">
      <c r="A18" s="3">
        <v>45674</v>
      </c>
      <c r="B18" s="3" t="s">
        <v>18</v>
      </c>
      <c r="C18" s="3" t="s">
        <v>17</v>
      </c>
      <c r="D18" t="s">
        <v>10</v>
      </c>
      <c r="E18" s="1">
        <v>60</v>
      </c>
      <c r="F18" s="1">
        <v>125000</v>
      </c>
      <c r="G18" s="1">
        <f>Table1[[#This Row],[Volume]]*Table1[[#This Row],[Harga satuan pembelian]]</f>
        <v>7500000</v>
      </c>
      <c r="H18" s="1">
        <v>210000</v>
      </c>
      <c r="I18" s="1">
        <f>Table1[[#This Row],[Harga satuan penjualan]]*Table1[[#This Row],[Volume]]</f>
        <v>12600000</v>
      </c>
      <c r="J18" s="1">
        <f>Table1[[#This Row],[Total Penjualan]]-Table1[[#This Row],[Total pembelian]]</f>
        <v>5100000</v>
      </c>
      <c r="L18" s="2"/>
    </row>
    <row r="19" spans="1:12" x14ac:dyDescent="0.2">
      <c r="A19" s="3">
        <v>45675</v>
      </c>
      <c r="B19" s="3" t="s">
        <v>12</v>
      </c>
      <c r="C19" s="3" t="s">
        <v>17</v>
      </c>
      <c r="D19" t="s">
        <v>2</v>
      </c>
      <c r="E19" s="1">
        <v>80</v>
      </c>
      <c r="F19" s="1">
        <v>185000</v>
      </c>
      <c r="G19" s="1">
        <f>Table1[[#This Row],[Volume]]*Table1[[#This Row],[Harga satuan pembelian]]</f>
        <v>14800000</v>
      </c>
      <c r="H19" s="1">
        <v>210000</v>
      </c>
      <c r="I19" s="1">
        <f>Table1[[#This Row],[Harga satuan penjualan]]*Table1[[#This Row],[Volume]]</f>
        <v>16800000</v>
      </c>
      <c r="J19" s="1">
        <f>Table1[[#This Row],[Total Penjualan]]-Table1[[#This Row],[Total pembelian]]</f>
        <v>2000000</v>
      </c>
      <c r="L19" s="2"/>
    </row>
    <row r="20" spans="1:12" x14ac:dyDescent="0.2">
      <c r="A20" s="3">
        <v>45676</v>
      </c>
      <c r="B20" s="3" t="s">
        <v>13</v>
      </c>
      <c r="C20" s="3" t="s">
        <v>17</v>
      </c>
      <c r="D20" t="s">
        <v>0</v>
      </c>
      <c r="E20" s="1">
        <v>60</v>
      </c>
      <c r="F20" s="1">
        <v>205000</v>
      </c>
      <c r="G20" s="1">
        <f>Table1[[#This Row],[Volume]]*Table1[[#This Row],[Harga satuan pembelian]]</f>
        <v>12300000</v>
      </c>
      <c r="H20" s="1">
        <v>225000</v>
      </c>
      <c r="I20" s="1">
        <f>Table1[[#This Row],[Harga satuan penjualan]]*Table1[[#This Row],[Volume]]</f>
        <v>13500000</v>
      </c>
      <c r="J20" s="1">
        <f>Table1[[#This Row],[Total Penjualan]]-Table1[[#This Row],[Total pembelian]]</f>
        <v>1200000</v>
      </c>
      <c r="L20" s="2"/>
    </row>
    <row r="21" spans="1:12" x14ac:dyDescent="0.2">
      <c r="A21" s="3">
        <v>45677</v>
      </c>
      <c r="B21" s="3" t="s">
        <v>13</v>
      </c>
      <c r="C21" s="3" t="s">
        <v>17</v>
      </c>
      <c r="D21" t="s">
        <v>10</v>
      </c>
      <c r="E21" s="1">
        <v>70</v>
      </c>
      <c r="F21" s="1">
        <v>115000</v>
      </c>
      <c r="G21" s="1">
        <f>Table1[[#This Row],[Volume]]*Table1[[#This Row],[Harga satuan pembelian]]</f>
        <v>8050000</v>
      </c>
      <c r="H21" s="1">
        <v>210000</v>
      </c>
      <c r="I21" s="1">
        <f>Table1[[#This Row],[Harga satuan penjualan]]*Table1[[#This Row],[Volume]]</f>
        <v>14700000</v>
      </c>
      <c r="J21" s="1">
        <f>Table1[[#This Row],[Total Penjualan]]-Table1[[#This Row],[Total pembelian]]</f>
        <v>6650000</v>
      </c>
      <c r="L21" s="2"/>
    </row>
    <row r="22" spans="1:12" x14ac:dyDescent="0.2">
      <c r="A22" s="3">
        <v>45678</v>
      </c>
      <c r="B22" s="3" t="s">
        <v>12</v>
      </c>
      <c r="C22" s="3" t="s">
        <v>16</v>
      </c>
      <c r="D22" t="s">
        <v>2</v>
      </c>
      <c r="E22" s="1">
        <v>50</v>
      </c>
      <c r="F22" s="1">
        <v>185000</v>
      </c>
      <c r="G22" s="1">
        <f>Table1[[#This Row],[Volume]]*Table1[[#This Row],[Harga satuan pembelian]]</f>
        <v>9250000</v>
      </c>
      <c r="H22" s="1">
        <v>210000</v>
      </c>
      <c r="I22" s="1">
        <f>Table1[[#This Row],[Harga satuan penjualan]]*Table1[[#This Row],[Volume]]</f>
        <v>10500000</v>
      </c>
      <c r="J22" s="1">
        <f>Table1[[#This Row],[Total Penjualan]]-Table1[[#This Row],[Total pembelian]]</f>
        <v>1250000</v>
      </c>
      <c r="L22" s="2"/>
    </row>
    <row r="23" spans="1:12" x14ac:dyDescent="0.2">
      <c r="A23" s="3">
        <v>45679</v>
      </c>
      <c r="B23" s="3" t="s">
        <v>12</v>
      </c>
      <c r="C23" s="3" t="s">
        <v>16</v>
      </c>
      <c r="D23" t="s">
        <v>0</v>
      </c>
      <c r="E23" s="1">
        <v>50</v>
      </c>
      <c r="F23" s="1">
        <v>145000</v>
      </c>
      <c r="G23" s="1">
        <f>Table1[[#This Row],[Volume]]*Table1[[#This Row],[Harga satuan pembelian]]</f>
        <v>7250000</v>
      </c>
      <c r="H23" s="1">
        <v>225000</v>
      </c>
      <c r="I23" s="1">
        <f>Table1[[#This Row],[Harga satuan penjualan]]*Table1[[#This Row],[Volume]]</f>
        <v>11250000</v>
      </c>
      <c r="J23" s="1">
        <f>Table1[[#This Row],[Total Penjualan]]-Table1[[#This Row],[Total pembelian]]</f>
        <v>4000000</v>
      </c>
      <c r="L23" s="2"/>
    </row>
    <row r="24" spans="1:12" x14ac:dyDescent="0.2">
      <c r="A24" s="3">
        <v>45680</v>
      </c>
      <c r="B24" s="3" t="s">
        <v>18</v>
      </c>
      <c r="C24" s="3" t="s">
        <v>16</v>
      </c>
      <c r="D24" t="s">
        <v>10</v>
      </c>
      <c r="E24" s="1">
        <v>70</v>
      </c>
      <c r="F24" s="1">
        <v>125000</v>
      </c>
      <c r="G24" s="1">
        <f>Table1[[#This Row],[Volume]]*Table1[[#This Row],[Harga satuan pembelian]]</f>
        <v>8750000</v>
      </c>
      <c r="H24" s="1">
        <v>210000</v>
      </c>
      <c r="I24" s="1">
        <f>Table1[[#This Row],[Harga satuan penjualan]]*Table1[[#This Row],[Volume]]</f>
        <v>14700000</v>
      </c>
      <c r="J24" s="1">
        <f>Table1[[#This Row],[Total Penjualan]]-Table1[[#This Row],[Total pembelian]]</f>
        <v>5950000</v>
      </c>
      <c r="L24" s="2"/>
    </row>
    <row r="25" spans="1:12" x14ac:dyDescent="0.2">
      <c r="A25" s="3">
        <v>45681</v>
      </c>
      <c r="B25" s="3" t="s">
        <v>18</v>
      </c>
      <c r="C25" s="3" t="s">
        <v>16</v>
      </c>
      <c r="D25" t="s">
        <v>2</v>
      </c>
      <c r="E25" s="1">
        <v>60</v>
      </c>
      <c r="F25" s="1">
        <v>85000</v>
      </c>
      <c r="G25" s="1">
        <f>Table1[[#This Row],[Volume]]*Table1[[#This Row],[Harga satuan pembelian]]</f>
        <v>5100000</v>
      </c>
      <c r="H25" s="1">
        <v>210000</v>
      </c>
      <c r="I25" s="1">
        <f>Table1[[#This Row],[Harga satuan penjualan]]*Table1[[#This Row],[Volume]]</f>
        <v>12600000</v>
      </c>
      <c r="J25" s="1">
        <f>Table1[[#This Row],[Total Penjualan]]-Table1[[#This Row],[Total pembelian]]</f>
        <v>7500000</v>
      </c>
      <c r="L25" s="2"/>
    </row>
    <row r="26" spans="1:12" x14ac:dyDescent="0.2">
      <c r="A26" s="3">
        <v>45682</v>
      </c>
      <c r="B26" s="3" t="s">
        <v>18</v>
      </c>
      <c r="C26" s="3" t="s">
        <v>16</v>
      </c>
      <c r="D26" t="s">
        <v>0</v>
      </c>
      <c r="E26" s="1">
        <v>90</v>
      </c>
      <c r="F26" s="1">
        <v>185000</v>
      </c>
      <c r="G26" s="1">
        <f>Table1[[#This Row],[Volume]]*Table1[[#This Row],[Harga satuan pembelian]]</f>
        <v>16650000</v>
      </c>
      <c r="H26" s="1">
        <v>225000</v>
      </c>
      <c r="I26" s="1">
        <f>Table1[[#This Row],[Harga satuan penjualan]]*Table1[[#This Row],[Volume]]</f>
        <v>20250000</v>
      </c>
      <c r="J26" s="1">
        <f>Table1[[#This Row],[Total Penjualan]]-Table1[[#This Row],[Total pembelian]]</f>
        <v>3600000</v>
      </c>
      <c r="L26" s="2"/>
    </row>
    <row r="27" spans="1:12" x14ac:dyDescent="0.2">
      <c r="A27" s="3">
        <v>45683</v>
      </c>
      <c r="B27" s="3" t="s">
        <v>18</v>
      </c>
      <c r="C27" s="3" t="s">
        <v>16</v>
      </c>
      <c r="D27" t="s">
        <v>10</v>
      </c>
      <c r="E27" s="1">
        <v>50</v>
      </c>
      <c r="F27" s="1">
        <v>145000</v>
      </c>
      <c r="G27" s="1">
        <f>Table1[[#This Row],[Volume]]*Table1[[#This Row],[Harga satuan pembelian]]</f>
        <v>7250000</v>
      </c>
      <c r="H27" s="1">
        <v>210000</v>
      </c>
      <c r="I27" s="1">
        <f>Table1[[#This Row],[Harga satuan penjualan]]*Table1[[#This Row],[Volume]]</f>
        <v>10500000</v>
      </c>
      <c r="J27" s="1">
        <f>Table1[[#This Row],[Total Penjualan]]-Table1[[#This Row],[Total pembelian]]</f>
        <v>3250000</v>
      </c>
      <c r="L27" s="2"/>
    </row>
    <row r="28" spans="1:12" x14ac:dyDescent="0.2">
      <c r="A28" s="3">
        <v>45684</v>
      </c>
      <c r="B28" s="3" t="s">
        <v>18</v>
      </c>
      <c r="C28" s="3" t="s">
        <v>16</v>
      </c>
      <c r="D28" t="s">
        <v>2</v>
      </c>
      <c r="E28" s="1">
        <v>70</v>
      </c>
      <c r="F28" s="1">
        <v>155000</v>
      </c>
      <c r="G28" s="1">
        <f>Table1[[#This Row],[Volume]]*Table1[[#This Row],[Harga satuan pembelian]]</f>
        <v>10850000</v>
      </c>
      <c r="H28" s="1">
        <v>210000</v>
      </c>
      <c r="I28" s="1">
        <f>Table1[[#This Row],[Harga satuan penjualan]]*Table1[[#This Row],[Volume]]</f>
        <v>14700000</v>
      </c>
      <c r="J28" s="1">
        <f>Table1[[#This Row],[Total Penjualan]]-Table1[[#This Row],[Total pembelian]]</f>
        <v>3850000</v>
      </c>
      <c r="L28" s="2"/>
    </row>
    <row r="29" spans="1:12" x14ac:dyDescent="0.2">
      <c r="A29" s="3">
        <v>45685</v>
      </c>
      <c r="B29" s="3" t="s">
        <v>18</v>
      </c>
      <c r="C29" s="3" t="s">
        <v>16</v>
      </c>
      <c r="D29" t="s">
        <v>0</v>
      </c>
      <c r="E29" s="1">
        <v>50</v>
      </c>
      <c r="F29" s="1">
        <v>175000</v>
      </c>
      <c r="G29" s="1">
        <f>Table1[[#This Row],[Volume]]*Table1[[#This Row],[Harga satuan pembelian]]</f>
        <v>8750000</v>
      </c>
      <c r="H29" s="1">
        <v>225000</v>
      </c>
      <c r="I29" s="1">
        <f>Table1[[#This Row],[Harga satuan penjualan]]*Table1[[#This Row],[Volume]]</f>
        <v>11250000</v>
      </c>
      <c r="J29" s="1">
        <f>Table1[[#This Row],[Total Penjualan]]-Table1[[#This Row],[Total pembelian]]</f>
        <v>2500000</v>
      </c>
      <c r="L29" s="2"/>
    </row>
    <row r="30" spans="1:12" x14ac:dyDescent="0.2">
      <c r="A30" s="3">
        <v>45686</v>
      </c>
      <c r="B30" s="3" t="s">
        <v>18</v>
      </c>
      <c r="C30" s="3" t="s">
        <v>16</v>
      </c>
      <c r="D30" t="s">
        <v>10</v>
      </c>
      <c r="E30" s="1">
        <v>70</v>
      </c>
      <c r="F30" s="1">
        <v>195000</v>
      </c>
      <c r="G30" s="1">
        <f>Table1[[#This Row],[Volume]]*Table1[[#This Row],[Harga satuan pembelian]]</f>
        <v>13650000</v>
      </c>
      <c r="H30" s="1">
        <v>210000</v>
      </c>
      <c r="I30" s="1">
        <f>Table1[[#This Row],[Harga satuan penjualan]]*Table1[[#This Row],[Volume]]</f>
        <v>14700000</v>
      </c>
      <c r="J30" s="1">
        <f>Table1[[#This Row],[Total Penjualan]]-Table1[[#This Row],[Total pembelian]]</f>
        <v>1050000</v>
      </c>
      <c r="L30" s="2"/>
    </row>
    <row r="31" spans="1:12" x14ac:dyDescent="0.2">
      <c r="A31" s="3">
        <v>45687</v>
      </c>
      <c r="B31" s="3" t="s">
        <v>12</v>
      </c>
      <c r="C31" s="3" t="s">
        <v>16</v>
      </c>
      <c r="D31" t="s">
        <v>2</v>
      </c>
      <c r="E31" s="1">
        <v>60</v>
      </c>
      <c r="F31" s="1">
        <v>185000</v>
      </c>
      <c r="G31" s="1">
        <f>Table1[[#This Row],[Volume]]*Table1[[#This Row],[Harga satuan pembelian]]</f>
        <v>11100000</v>
      </c>
      <c r="H31" s="1">
        <v>210000</v>
      </c>
      <c r="I31" s="1">
        <f>Table1[[#This Row],[Harga satuan penjualan]]*Table1[[#This Row],[Volume]]</f>
        <v>12600000</v>
      </c>
      <c r="J31" s="1">
        <f>Table1[[#This Row],[Total Penjualan]]-Table1[[#This Row],[Total pembelian]]</f>
        <v>1500000</v>
      </c>
      <c r="L31" s="2"/>
    </row>
    <row r="32" spans="1:12" x14ac:dyDescent="0.2">
      <c r="A32" s="3">
        <v>45688</v>
      </c>
      <c r="B32" s="3" t="s">
        <v>13</v>
      </c>
      <c r="C32" s="3" t="s">
        <v>16</v>
      </c>
      <c r="D32" t="s">
        <v>0</v>
      </c>
      <c r="E32" s="1">
        <v>70</v>
      </c>
      <c r="F32" s="1">
        <v>165000</v>
      </c>
      <c r="G32" s="1">
        <f>Table1[[#This Row],[Volume]]*Table1[[#This Row],[Harga satuan pembelian]]</f>
        <v>11550000</v>
      </c>
      <c r="H32" s="1">
        <v>225000</v>
      </c>
      <c r="I32" s="1">
        <f>Table1[[#This Row],[Harga satuan penjualan]]*Table1[[#This Row],[Volume]]</f>
        <v>15750000</v>
      </c>
      <c r="J32" s="1">
        <f>Table1[[#This Row],[Total Penjualan]]-Table1[[#This Row],[Total pembelian]]</f>
        <v>4200000</v>
      </c>
      <c r="L32" s="2"/>
    </row>
    <row r="33" spans="1:12" x14ac:dyDescent="0.2">
      <c r="A33" s="3">
        <v>45689</v>
      </c>
      <c r="B33" s="3" t="s">
        <v>13</v>
      </c>
      <c r="C33" s="3" t="s">
        <v>16</v>
      </c>
      <c r="D33" t="s">
        <v>10</v>
      </c>
      <c r="E33" s="1">
        <v>50</v>
      </c>
      <c r="F33" s="1">
        <v>185000</v>
      </c>
      <c r="G33" s="1">
        <f>Table1[[#This Row],[Volume]]*Table1[[#This Row],[Harga satuan pembelian]]</f>
        <v>9250000</v>
      </c>
      <c r="H33" s="1">
        <v>210000</v>
      </c>
      <c r="I33" s="1">
        <f>Table1[[#This Row],[Harga satuan penjualan]]*Table1[[#This Row],[Volume]]</f>
        <v>10500000</v>
      </c>
      <c r="J33" s="1">
        <f>Table1[[#This Row],[Total Penjualan]]-Table1[[#This Row],[Total pembelian]]</f>
        <v>1250000</v>
      </c>
      <c r="L33" s="2"/>
    </row>
    <row r="34" spans="1:12" x14ac:dyDescent="0.2">
      <c r="A34" s="3">
        <v>45690</v>
      </c>
      <c r="B34" s="3" t="s">
        <v>18</v>
      </c>
      <c r="C34" s="3" t="s">
        <v>15</v>
      </c>
      <c r="D34" t="s">
        <v>2</v>
      </c>
      <c r="E34" s="1">
        <v>40</v>
      </c>
      <c r="F34" s="1">
        <v>95000</v>
      </c>
      <c r="G34" s="1">
        <f>Table1[[#This Row],[Volume]]*Table1[[#This Row],[Harga satuan pembelian]]</f>
        <v>3800000</v>
      </c>
      <c r="H34" s="1">
        <v>210000</v>
      </c>
      <c r="I34" s="1">
        <f>Table1[[#This Row],[Harga satuan penjualan]]*Table1[[#This Row],[Volume]]</f>
        <v>8400000</v>
      </c>
      <c r="J34" s="1">
        <f>Table1[[#This Row],[Total Penjualan]]-Table1[[#This Row],[Total pembelian]]</f>
        <v>4600000</v>
      </c>
      <c r="L34" s="2"/>
    </row>
    <row r="35" spans="1:12" x14ac:dyDescent="0.2">
      <c r="A35" s="3">
        <v>45691</v>
      </c>
      <c r="B35" s="3" t="s">
        <v>18</v>
      </c>
      <c r="C35" s="3" t="s">
        <v>15</v>
      </c>
      <c r="D35" t="s">
        <v>0</v>
      </c>
      <c r="E35" s="1">
        <v>60</v>
      </c>
      <c r="F35" s="1">
        <v>115000</v>
      </c>
      <c r="G35" s="1">
        <f>Table1[[#This Row],[Volume]]*Table1[[#This Row],[Harga satuan pembelian]]</f>
        <v>6900000</v>
      </c>
      <c r="H35" s="1">
        <v>225000</v>
      </c>
      <c r="I35" s="1">
        <f>Table1[[#This Row],[Harga satuan penjualan]]*Table1[[#This Row],[Volume]]</f>
        <v>13500000</v>
      </c>
      <c r="J35" s="1">
        <f>Table1[[#This Row],[Total Penjualan]]-Table1[[#This Row],[Total pembelian]]</f>
        <v>6600000</v>
      </c>
      <c r="L35" s="2"/>
    </row>
    <row r="36" spans="1:12" x14ac:dyDescent="0.2">
      <c r="A36" s="3">
        <v>45692</v>
      </c>
      <c r="B36" s="3" t="s">
        <v>18</v>
      </c>
      <c r="C36" s="3" t="s">
        <v>15</v>
      </c>
      <c r="D36" t="s">
        <v>10</v>
      </c>
      <c r="E36" s="1">
        <v>50</v>
      </c>
      <c r="F36" s="1">
        <v>135000</v>
      </c>
      <c r="G36" s="1">
        <f>Table1[[#This Row],[Volume]]*Table1[[#This Row],[Harga satuan pembelian]]</f>
        <v>6750000</v>
      </c>
      <c r="H36" s="1">
        <v>210000</v>
      </c>
      <c r="I36" s="1">
        <f>Table1[[#This Row],[Harga satuan penjualan]]*Table1[[#This Row],[Volume]]</f>
        <v>10500000</v>
      </c>
      <c r="J36" s="1">
        <f>Table1[[#This Row],[Total Penjualan]]-Table1[[#This Row],[Total pembelian]]</f>
        <v>3750000</v>
      </c>
      <c r="L36" s="2"/>
    </row>
    <row r="37" spans="1:12" x14ac:dyDescent="0.2">
      <c r="A37" s="3">
        <v>45693</v>
      </c>
      <c r="B37" s="3" t="s">
        <v>18</v>
      </c>
      <c r="C37" s="3" t="s">
        <v>15</v>
      </c>
      <c r="D37" t="s">
        <v>2</v>
      </c>
      <c r="E37" s="1">
        <v>70</v>
      </c>
      <c r="F37" s="1">
        <v>205000</v>
      </c>
      <c r="G37" s="1">
        <f>Table1[[#This Row],[Volume]]*Table1[[#This Row],[Harga satuan pembelian]]</f>
        <v>14350000</v>
      </c>
      <c r="H37" s="1">
        <v>210000</v>
      </c>
      <c r="I37" s="1">
        <f>Table1[[#This Row],[Harga satuan penjualan]]*Table1[[#This Row],[Volume]]</f>
        <v>14700000</v>
      </c>
      <c r="J37" s="1">
        <f>Table1[[#This Row],[Total Penjualan]]-Table1[[#This Row],[Total pembelian]]</f>
        <v>350000</v>
      </c>
      <c r="L37" s="2"/>
    </row>
    <row r="38" spans="1:12" x14ac:dyDescent="0.2">
      <c r="A38" s="3">
        <v>45694</v>
      </c>
      <c r="B38" s="3" t="s">
        <v>18</v>
      </c>
      <c r="C38" s="3" t="s">
        <v>15</v>
      </c>
      <c r="D38" t="s">
        <v>0</v>
      </c>
      <c r="E38" s="1">
        <v>40</v>
      </c>
      <c r="F38" s="1">
        <v>155000</v>
      </c>
      <c r="G38" s="1">
        <f>Table1[[#This Row],[Volume]]*Table1[[#This Row],[Harga satuan pembelian]]</f>
        <v>6200000</v>
      </c>
      <c r="H38" s="1">
        <v>225000</v>
      </c>
      <c r="I38" s="1">
        <f>Table1[[#This Row],[Harga satuan penjualan]]*Table1[[#This Row],[Volume]]</f>
        <v>9000000</v>
      </c>
      <c r="J38" s="1">
        <f>Table1[[#This Row],[Total Penjualan]]-Table1[[#This Row],[Total pembelian]]</f>
        <v>2800000</v>
      </c>
      <c r="L38" s="2"/>
    </row>
    <row r="39" spans="1:12" x14ac:dyDescent="0.2">
      <c r="A39" s="3">
        <v>45695</v>
      </c>
      <c r="B39" s="3" t="s">
        <v>18</v>
      </c>
      <c r="C39" s="3" t="s">
        <v>15</v>
      </c>
      <c r="D39" t="s">
        <v>10</v>
      </c>
      <c r="E39" s="1">
        <v>80</v>
      </c>
      <c r="F39" s="1">
        <v>175000</v>
      </c>
      <c r="G39" s="1">
        <f>Table1[[#This Row],[Volume]]*Table1[[#This Row],[Harga satuan pembelian]]</f>
        <v>14000000</v>
      </c>
      <c r="H39" s="1">
        <v>210000</v>
      </c>
      <c r="I39" s="1">
        <f>Table1[[#This Row],[Harga satuan penjualan]]*Table1[[#This Row],[Volume]]</f>
        <v>16800000</v>
      </c>
      <c r="J39" s="1">
        <f>Table1[[#This Row],[Total Penjualan]]-Table1[[#This Row],[Total pembelian]]</f>
        <v>2800000</v>
      </c>
      <c r="L39" s="2"/>
    </row>
    <row r="40" spans="1:12" x14ac:dyDescent="0.2">
      <c r="A40" s="3">
        <v>45696</v>
      </c>
      <c r="B40" s="3" t="s">
        <v>18</v>
      </c>
      <c r="C40" s="3" t="s">
        <v>15</v>
      </c>
      <c r="D40" t="s">
        <v>2</v>
      </c>
      <c r="E40" s="1">
        <v>50</v>
      </c>
      <c r="F40" s="1">
        <v>145000</v>
      </c>
      <c r="G40" s="1">
        <f>Table1[[#This Row],[Volume]]*Table1[[#This Row],[Harga satuan pembelian]]</f>
        <v>7250000</v>
      </c>
      <c r="H40" s="1">
        <v>210000</v>
      </c>
      <c r="I40" s="1">
        <f>Table1[[#This Row],[Harga satuan penjualan]]*Table1[[#This Row],[Volume]]</f>
        <v>10500000</v>
      </c>
      <c r="J40" s="1">
        <f>Table1[[#This Row],[Total Penjualan]]-Table1[[#This Row],[Total pembelian]]</f>
        <v>3250000</v>
      </c>
      <c r="L40" s="2"/>
    </row>
    <row r="41" spans="1:12" x14ac:dyDescent="0.2">
      <c r="A41" s="3">
        <v>45697</v>
      </c>
      <c r="B41" s="3" t="s">
        <v>12</v>
      </c>
      <c r="C41" s="3" t="s">
        <v>15</v>
      </c>
      <c r="D41" t="s">
        <v>0</v>
      </c>
      <c r="E41" s="1">
        <v>90</v>
      </c>
      <c r="F41" s="1">
        <v>205000</v>
      </c>
      <c r="G41" s="1">
        <f>Table1[[#This Row],[Volume]]*Table1[[#This Row],[Harga satuan pembelian]]</f>
        <v>18450000</v>
      </c>
      <c r="H41" s="1">
        <v>225000</v>
      </c>
      <c r="I41" s="1">
        <f>Table1[[#This Row],[Harga satuan penjualan]]*Table1[[#This Row],[Volume]]</f>
        <v>20250000</v>
      </c>
      <c r="J41" s="1">
        <f>Table1[[#This Row],[Total Penjualan]]-Table1[[#This Row],[Total pembelian]]</f>
        <v>1800000</v>
      </c>
      <c r="L41" s="2"/>
    </row>
    <row r="42" spans="1:12" x14ac:dyDescent="0.2">
      <c r="A42" s="3">
        <v>45698</v>
      </c>
      <c r="B42" s="3" t="s">
        <v>13</v>
      </c>
      <c r="C42" s="3" t="s">
        <v>15</v>
      </c>
      <c r="D42" t="s">
        <v>10</v>
      </c>
      <c r="E42" s="1">
        <v>90</v>
      </c>
      <c r="F42" s="1">
        <v>215000</v>
      </c>
      <c r="G42" s="1">
        <f>Table1[[#This Row],[Volume]]*Table1[[#This Row],[Harga satuan pembelian]]</f>
        <v>19350000</v>
      </c>
      <c r="H42" s="1">
        <v>210000</v>
      </c>
      <c r="I42" s="1">
        <f>Table1[[#This Row],[Harga satuan penjualan]]*Table1[[#This Row],[Volume]]</f>
        <v>18900000</v>
      </c>
      <c r="J42" s="1">
        <f>Table1[[#This Row],[Total Penjualan]]-Table1[[#This Row],[Total pembelian]]</f>
        <v>-450000</v>
      </c>
      <c r="L42" s="2"/>
    </row>
    <row r="43" spans="1:12" x14ac:dyDescent="0.2">
      <c r="A43" s="3">
        <v>45699</v>
      </c>
      <c r="B43" s="3" t="s">
        <v>13</v>
      </c>
      <c r="C43" s="3" t="s">
        <v>15</v>
      </c>
      <c r="D43" t="s">
        <v>2</v>
      </c>
      <c r="E43" s="1">
        <v>60</v>
      </c>
      <c r="F43" s="1">
        <v>185000</v>
      </c>
      <c r="G43" s="1">
        <f>Table1[[#This Row],[Volume]]*Table1[[#This Row],[Harga satuan pembelian]]</f>
        <v>11100000</v>
      </c>
      <c r="H43" s="1">
        <v>210000</v>
      </c>
      <c r="I43" s="1">
        <f>Table1[[#This Row],[Harga satuan penjualan]]*Table1[[#This Row],[Volume]]</f>
        <v>12600000</v>
      </c>
      <c r="J43" s="1">
        <f>Table1[[#This Row],[Total Penjualan]]-Table1[[#This Row],[Total pembelian]]</f>
        <v>1500000</v>
      </c>
      <c r="L43" s="2"/>
    </row>
    <row r="44" spans="1:12" x14ac:dyDescent="0.2">
      <c r="A44" s="3">
        <v>45700</v>
      </c>
      <c r="B44" s="3" t="s">
        <v>18</v>
      </c>
      <c r="C44" s="3" t="s">
        <v>15</v>
      </c>
      <c r="D44" t="s">
        <v>0</v>
      </c>
      <c r="E44" s="1">
        <v>70</v>
      </c>
      <c r="F44" s="1">
        <v>115000</v>
      </c>
      <c r="G44" s="1">
        <f>Table1[[#This Row],[Volume]]*Table1[[#This Row],[Harga satuan pembelian]]</f>
        <v>8050000</v>
      </c>
      <c r="H44" s="1">
        <v>225000</v>
      </c>
      <c r="I44" s="1">
        <f>Table1[[#This Row],[Harga satuan penjualan]]*Table1[[#This Row],[Volume]]</f>
        <v>15750000</v>
      </c>
      <c r="J44" s="1">
        <f>Table1[[#This Row],[Total Penjualan]]-Table1[[#This Row],[Total pembelian]]</f>
        <v>7700000</v>
      </c>
      <c r="L44" s="2"/>
    </row>
    <row r="45" spans="1:12" x14ac:dyDescent="0.2">
      <c r="A45" s="3">
        <v>45701</v>
      </c>
      <c r="B45" s="3" t="s">
        <v>18</v>
      </c>
      <c r="C45" s="3" t="s">
        <v>15</v>
      </c>
      <c r="D45" t="s">
        <v>10</v>
      </c>
      <c r="E45" s="1">
        <v>80</v>
      </c>
      <c r="F45" s="1">
        <v>115000</v>
      </c>
      <c r="G45" s="1">
        <f>Table1[[#This Row],[Volume]]*Table1[[#This Row],[Harga satuan pembelian]]</f>
        <v>9200000</v>
      </c>
      <c r="H45" s="1">
        <v>210000</v>
      </c>
      <c r="I45" s="1">
        <f>Table1[[#This Row],[Harga satuan penjualan]]*Table1[[#This Row],[Volume]]</f>
        <v>16800000</v>
      </c>
      <c r="J45" s="1">
        <f>Table1[[#This Row],[Total Penjualan]]-Table1[[#This Row],[Total pembelian]]</f>
        <v>7600000</v>
      </c>
      <c r="L45" s="2"/>
    </row>
    <row r="46" spans="1:12" x14ac:dyDescent="0.2">
      <c r="A46" s="3">
        <v>45702</v>
      </c>
      <c r="B46" s="3" t="s">
        <v>18</v>
      </c>
      <c r="C46" s="3" t="s">
        <v>16</v>
      </c>
      <c r="D46" t="s">
        <v>2</v>
      </c>
      <c r="E46" s="1">
        <v>40</v>
      </c>
      <c r="F46" s="1">
        <v>105000</v>
      </c>
      <c r="G46" s="1">
        <f>Table1[[#This Row],[Volume]]*Table1[[#This Row],[Harga satuan pembelian]]</f>
        <v>4200000</v>
      </c>
      <c r="H46" s="1">
        <v>210000</v>
      </c>
      <c r="I46" s="1">
        <f>Table1[[#This Row],[Harga satuan penjualan]]*Table1[[#This Row],[Volume]]</f>
        <v>8400000</v>
      </c>
      <c r="J46" s="1">
        <f>Table1[[#This Row],[Total Penjualan]]-Table1[[#This Row],[Total pembelian]]</f>
        <v>4200000</v>
      </c>
      <c r="L46" s="2"/>
    </row>
    <row r="47" spans="1:12" x14ac:dyDescent="0.2">
      <c r="A47" s="3">
        <v>45703</v>
      </c>
      <c r="B47" s="3" t="s">
        <v>18</v>
      </c>
      <c r="C47" s="3" t="s">
        <v>16</v>
      </c>
      <c r="D47" t="s">
        <v>0</v>
      </c>
      <c r="E47" s="1">
        <v>80</v>
      </c>
      <c r="F47" s="1">
        <v>135000</v>
      </c>
      <c r="G47" s="1">
        <f>Table1[[#This Row],[Volume]]*Table1[[#This Row],[Harga satuan pembelian]]</f>
        <v>10800000</v>
      </c>
      <c r="H47" s="1">
        <v>225000</v>
      </c>
      <c r="I47" s="1">
        <f>Table1[[#This Row],[Harga satuan penjualan]]*Table1[[#This Row],[Volume]]</f>
        <v>18000000</v>
      </c>
      <c r="J47" s="1">
        <f>Table1[[#This Row],[Total Penjualan]]-Table1[[#This Row],[Total pembelian]]</f>
        <v>7200000</v>
      </c>
      <c r="L47" s="2"/>
    </row>
    <row r="48" spans="1:12" x14ac:dyDescent="0.2">
      <c r="A48" s="3">
        <v>45704</v>
      </c>
      <c r="B48" s="3" t="s">
        <v>18</v>
      </c>
      <c r="C48" s="3" t="s">
        <v>16</v>
      </c>
      <c r="D48" t="s">
        <v>10</v>
      </c>
      <c r="E48" s="1">
        <v>60</v>
      </c>
      <c r="F48" s="1">
        <v>205000</v>
      </c>
      <c r="G48" s="1">
        <f>Table1[[#This Row],[Volume]]*Table1[[#This Row],[Harga satuan pembelian]]</f>
        <v>12300000</v>
      </c>
      <c r="H48" s="1">
        <v>210000</v>
      </c>
      <c r="I48" s="1">
        <f>Table1[[#This Row],[Harga satuan penjualan]]*Table1[[#This Row],[Volume]]</f>
        <v>12600000</v>
      </c>
      <c r="J48" s="1">
        <f>Table1[[#This Row],[Total Penjualan]]-Table1[[#This Row],[Total pembelian]]</f>
        <v>300000</v>
      </c>
      <c r="L48" s="2"/>
    </row>
    <row r="49" spans="1:12" x14ac:dyDescent="0.2">
      <c r="A49" s="3">
        <v>45705</v>
      </c>
      <c r="B49" s="3" t="s">
        <v>18</v>
      </c>
      <c r="C49" s="3" t="s">
        <v>16</v>
      </c>
      <c r="D49" t="s">
        <v>2</v>
      </c>
      <c r="E49" s="1">
        <v>70</v>
      </c>
      <c r="F49" s="1">
        <v>115000</v>
      </c>
      <c r="G49" s="1">
        <f>Table1[[#This Row],[Volume]]*Table1[[#This Row],[Harga satuan pembelian]]</f>
        <v>8050000</v>
      </c>
      <c r="H49" s="1">
        <v>210000</v>
      </c>
      <c r="I49" s="1">
        <f>Table1[[#This Row],[Harga satuan penjualan]]*Table1[[#This Row],[Volume]]</f>
        <v>14700000</v>
      </c>
      <c r="J49" s="1">
        <f>Table1[[#This Row],[Total Penjualan]]-Table1[[#This Row],[Total pembelian]]</f>
        <v>6650000</v>
      </c>
      <c r="L49" s="2"/>
    </row>
    <row r="50" spans="1:12" x14ac:dyDescent="0.2">
      <c r="A50" s="3">
        <v>45706</v>
      </c>
      <c r="B50" s="3" t="s">
        <v>18</v>
      </c>
      <c r="C50" s="3" t="s">
        <v>17</v>
      </c>
      <c r="D50" t="s">
        <v>0</v>
      </c>
      <c r="E50" s="1">
        <v>50</v>
      </c>
      <c r="F50" s="1">
        <v>165000</v>
      </c>
      <c r="G50" s="1">
        <f>Table1[[#This Row],[Volume]]*Table1[[#This Row],[Harga satuan pembelian]]</f>
        <v>8250000</v>
      </c>
      <c r="H50" s="1">
        <v>225000</v>
      </c>
      <c r="I50" s="1">
        <f>Table1[[#This Row],[Harga satuan penjualan]]*Table1[[#This Row],[Volume]]</f>
        <v>11250000</v>
      </c>
      <c r="J50" s="1">
        <f>Table1[[#This Row],[Total Penjualan]]-Table1[[#This Row],[Total pembelian]]</f>
        <v>3000000</v>
      </c>
      <c r="L50" s="2"/>
    </row>
    <row r="51" spans="1:12" x14ac:dyDescent="0.2">
      <c r="A51" s="3">
        <v>45707</v>
      </c>
      <c r="B51" s="3" t="s">
        <v>12</v>
      </c>
      <c r="C51" s="3" t="s">
        <v>17</v>
      </c>
      <c r="D51" t="s">
        <v>10</v>
      </c>
      <c r="E51" s="1">
        <v>70</v>
      </c>
      <c r="F51" s="1">
        <v>115000</v>
      </c>
      <c r="G51" s="1">
        <f>Table1[[#This Row],[Volume]]*Table1[[#This Row],[Harga satuan pembelian]]</f>
        <v>8050000</v>
      </c>
      <c r="H51" s="1">
        <v>210000</v>
      </c>
      <c r="I51" s="1">
        <f>Table1[[#This Row],[Harga satuan penjualan]]*Table1[[#This Row],[Volume]]</f>
        <v>14700000</v>
      </c>
      <c r="J51" s="1">
        <f>Table1[[#This Row],[Total Penjualan]]-Table1[[#This Row],[Total pembelian]]</f>
        <v>6650000</v>
      </c>
      <c r="L51" s="2"/>
    </row>
    <row r="52" spans="1:12" x14ac:dyDescent="0.2">
      <c r="A52" s="3">
        <v>45708</v>
      </c>
      <c r="B52" s="3" t="s">
        <v>13</v>
      </c>
      <c r="C52" s="3" t="s">
        <v>17</v>
      </c>
      <c r="D52" t="s">
        <v>2</v>
      </c>
      <c r="E52" s="1">
        <v>60</v>
      </c>
      <c r="F52" s="1">
        <v>165000</v>
      </c>
      <c r="G52" s="1">
        <f>Table1[[#This Row],[Volume]]*Table1[[#This Row],[Harga satuan pembelian]]</f>
        <v>9900000</v>
      </c>
      <c r="H52" s="1">
        <v>210000</v>
      </c>
      <c r="I52" s="1">
        <f>Table1[[#This Row],[Harga satuan penjualan]]*Table1[[#This Row],[Volume]]</f>
        <v>12600000</v>
      </c>
      <c r="J52" s="1">
        <f>Table1[[#This Row],[Total Penjualan]]-Table1[[#This Row],[Total pembelian]]</f>
        <v>2700000</v>
      </c>
      <c r="L52" s="2"/>
    </row>
    <row r="53" spans="1:12" x14ac:dyDescent="0.2">
      <c r="A53" s="3">
        <v>45709</v>
      </c>
      <c r="B53" s="3" t="s">
        <v>13</v>
      </c>
      <c r="C53" s="3" t="s">
        <v>17</v>
      </c>
      <c r="D53" t="s">
        <v>0</v>
      </c>
      <c r="E53" s="1">
        <v>50</v>
      </c>
      <c r="F53" s="1">
        <v>95000</v>
      </c>
      <c r="G53" s="1">
        <f>Table1[[#This Row],[Volume]]*Table1[[#This Row],[Harga satuan pembelian]]</f>
        <v>4750000</v>
      </c>
      <c r="H53" s="1">
        <v>225000</v>
      </c>
      <c r="I53" s="1">
        <f>Table1[[#This Row],[Harga satuan penjualan]]*Table1[[#This Row],[Volume]]</f>
        <v>11250000</v>
      </c>
      <c r="J53" s="1">
        <f>Table1[[#This Row],[Total Penjualan]]-Table1[[#This Row],[Total pembelian]]</f>
        <v>6500000</v>
      </c>
      <c r="L53" s="2"/>
    </row>
    <row r="54" spans="1:12" x14ac:dyDescent="0.2">
      <c r="A54" s="3">
        <v>45710</v>
      </c>
      <c r="B54" s="3" t="s">
        <v>18</v>
      </c>
      <c r="C54" s="3" t="s">
        <v>15</v>
      </c>
      <c r="D54" t="s">
        <v>10</v>
      </c>
      <c r="E54" s="1">
        <v>40</v>
      </c>
      <c r="F54" s="1">
        <v>205000</v>
      </c>
      <c r="G54" s="1">
        <f>Table1[[#This Row],[Volume]]*Table1[[#This Row],[Harga satuan pembelian]]</f>
        <v>8200000</v>
      </c>
      <c r="H54" s="1">
        <v>210000</v>
      </c>
      <c r="I54" s="1">
        <f>Table1[[#This Row],[Harga satuan penjualan]]*Table1[[#This Row],[Volume]]</f>
        <v>8400000</v>
      </c>
      <c r="J54" s="1">
        <f>Table1[[#This Row],[Total Penjualan]]-Table1[[#This Row],[Total pembelian]]</f>
        <v>200000</v>
      </c>
      <c r="L54" s="2"/>
    </row>
    <row r="55" spans="1:12" x14ac:dyDescent="0.2">
      <c r="A55" s="3">
        <v>45711</v>
      </c>
      <c r="B55" s="3" t="s">
        <v>18</v>
      </c>
      <c r="C55" s="3" t="s">
        <v>15</v>
      </c>
      <c r="D55" t="s">
        <v>2</v>
      </c>
      <c r="E55" s="1">
        <v>90</v>
      </c>
      <c r="F55" s="1">
        <v>145000</v>
      </c>
      <c r="G55" s="1">
        <f>Table1[[#This Row],[Volume]]*Table1[[#This Row],[Harga satuan pembelian]]</f>
        <v>13050000</v>
      </c>
      <c r="H55" s="1">
        <v>210000</v>
      </c>
      <c r="I55" s="1">
        <f>Table1[[#This Row],[Harga satuan penjualan]]*Table1[[#This Row],[Volume]]</f>
        <v>18900000</v>
      </c>
      <c r="J55" s="1">
        <f>Table1[[#This Row],[Total Penjualan]]-Table1[[#This Row],[Total pembelian]]</f>
        <v>5850000</v>
      </c>
      <c r="L55" s="2"/>
    </row>
    <row r="56" spans="1:12" x14ac:dyDescent="0.2">
      <c r="A56" s="3">
        <v>45712</v>
      </c>
      <c r="B56" s="3" t="s">
        <v>18</v>
      </c>
      <c r="C56" s="3" t="s">
        <v>15</v>
      </c>
      <c r="D56" t="s">
        <v>0</v>
      </c>
      <c r="E56" s="1">
        <v>50</v>
      </c>
      <c r="F56" s="1">
        <v>175000</v>
      </c>
      <c r="G56" s="1">
        <f>Table1[[#This Row],[Volume]]*Table1[[#This Row],[Harga satuan pembelian]]</f>
        <v>8750000</v>
      </c>
      <c r="H56" s="1">
        <v>225000</v>
      </c>
      <c r="I56" s="1">
        <f>Table1[[#This Row],[Harga satuan penjualan]]*Table1[[#This Row],[Volume]]</f>
        <v>11250000</v>
      </c>
      <c r="J56" s="1">
        <f>Table1[[#This Row],[Total Penjualan]]-Table1[[#This Row],[Total pembelian]]</f>
        <v>2500000</v>
      </c>
      <c r="L56" s="2"/>
    </row>
    <row r="57" spans="1:12" x14ac:dyDescent="0.2">
      <c r="A57" s="3">
        <v>45713</v>
      </c>
      <c r="B57" s="3" t="s">
        <v>18</v>
      </c>
      <c r="C57" s="3" t="s">
        <v>15</v>
      </c>
      <c r="D57" t="s">
        <v>10</v>
      </c>
      <c r="E57" s="1">
        <v>40</v>
      </c>
      <c r="F57" s="1">
        <v>175000</v>
      </c>
      <c r="G57" s="1">
        <f>Table1[[#This Row],[Volume]]*Table1[[#This Row],[Harga satuan pembelian]]</f>
        <v>7000000</v>
      </c>
      <c r="H57" s="1">
        <v>210000</v>
      </c>
      <c r="I57" s="1">
        <f>Table1[[#This Row],[Harga satuan penjualan]]*Table1[[#This Row],[Volume]]</f>
        <v>8400000</v>
      </c>
      <c r="J57" s="1">
        <f>Table1[[#This Row],[Total Penjualan]]-Table1[[#This Row],[Total pembelian]]</f>
        <v>1400000</v>
      </c>
      <c r="L57" s="2"/>
    </row>
    <row r="58" spans="1:12" x14ac:dyDescent="0.2">
      <c r="A58" s="3">
        <v>45714</v>
      </c>
      <c r="B58" s="3" t="s">
        <v>18</v>
      </c>
      <c r="C58" s="3" t="s">
        <v>15</v>
      </c>
      <c r="D58" t="s">
        <v>2</v>
      </c>
      <c r="E58" s="1">
        <v>40</v>
      </c>
      <c r="F58" s="1">
        <v>115000</v>
      </c>
      <c r="G58" s="1">
        <f>Table1[[#This Row],[Volume]]*Table1[[#This Row],[Harga satuan pembelian]]</f>
        <v>4600000</v>
      </c>
      <c r="H58" s="1">
        <v>210000</v>
      </c>
      <c r="I58" s="1">
        <f>Table1[[#This Row],[Harga satuan penjualan]]*Table1[[#This Row],[Volume]]</f>
        <v>8400000</v>
      </c>
      <c r="J58" s="1">
        <f>Table1[[#This Row],[Total Penjualan]]-Table1[[#This Row],[Total pembelian]]</f>
        <v>3800000</v>
      </c>
      <c r="L58" s="2"/>
    </row>
    <row r="59" spans="1:12" x14ac:dyDescent="0.2">
      <c r="A59" s="3">
        <v>45715</v>
      </c>
      <c r="B59" s="3" t="s">
        <v>18</v>
      </c>
      <c r="C59" s="3" t="s">
        <v>15</v>
      </c>
      <c r="D59" t="s">
        <v>0</v>
      </c>
      <c r="E59" s="1">
        <v>80</v>
      </c>
      <c r="F59" s="1">
        <v>155000</v>
      </c>
      <c r="G59" s="1">
        <f>Table1[[#This Row],[Volume]]*Table1[[#This Row],[Harga satuan pembelian]]</f>
        <v>12400000</v>
      </c>
      <c r="H59" s="1">
        <v>225000</v>
      </c>
      <c r="I59" s="1">
        <f>Table1[[#This Row],[Harga satuan penjualan]]*Table1[[#This Row],[Volume]]</f>
        <v>18000000</v>
      </c>
      <c r="J59" s="1">
        <f>Table1[[#This Row],[Total Penjualan]]-Table1[[#This Row],[Total pembelian]]</f>
        <v>5600000</v>
      </c>
      <c r="L59" s="2"/>
    </row>
    <row r="60" spans="1:12" x14ac:dyDescent="0.2">
      <c r="A60" s="3">
        <v>45716</v>
      </c>
      <c r="B60" s="3" t="s">
        <v>18</v>
      </c>
      <c r="C60" s="3" t="s">
        <v>15</v>
      </c>
      <c r="D60" t="s">
        <v>10</v>
      </c>
      <c r="E60" s="1">
        <v>60</v>
      </c>
      <c r="F60" s="1">
        <v>165000</v>
      </c>
      <c r="G60" s="1">
        <f>Table1[[#This Row],[Volume]]*Table1[[#This Row],[Harga satuan pembelian]]</f>
        <v>9900000</v>
      </c>
      <c r="H60" s="1">
        <v>210000</v>
      </c>
      <c r="I60" s="1">
        <f>Table1[[#This Row],[Harga satuan penjualan]]*Table1[[#This Row],[Volume]]</f>
        <v>12600000</v>
      </c>
      <c r="J60" s="1">
        <f>Table1[[#This Row],[Total Penjualan]]-Table1[[#This Row],[Total pembelian]]</f>
        <v>2700000</v>
      </c>
      <c r="L60" s="2"/>
    </row>
    <row r="61" spans="1:12" x14ac:dyDescent="0.2">
      <c r="A61" s="3">
        <v>45717</v>
      </c>
      <c r="B61" s="3" t="s">
        <v>12</v>
      </c>
      <c r="C61" s="3" t="s">
        <v>15</v>
      </c>
      <c r="D61" t="s">
        <v>2</v>
      </c>
      <c r="E61" s="1">
        <v>70</v>
      </c>
      <c r="F61" s="1">
        <v>165000</v>
      </c>
      <c r="G61" s="1">
        <f>Table1[[#This Row],[Volume]]*Table1[[#This Row],[Harga satuan pembelian]]</f>
        <v>11550000</v>
      </c>
      <c r="H61" s="1">
        <v>210000</v>
      </c>
      <c r="I61" s="1">
        <f>Table1[[#This Row],[Harga satuan penjualan]]*Table1[[#This Row],[Volume]]</f>
        <v>14700000</v>
      </c>
      <c r="J61" s="1">
        <f>Table1[[#This Row],[Total Penjualan]]-Table1[[#This Row],[Total pembelian]]</f>
        <v>3150000</v>
      </c>
      <c r="L61" s="2"/>
    </row>
    <row r="62" spans="1:12" x14ac:dyDescent="0.2">
      <c r="A62" s="3">
        <v>45718</v>
      </c>
      <c r="B62" s="3" t="s">
        <v>13</v>
      </c>
      <c r="C62" s="3" t="s">
        <v>15</v>
      </c>
      <c r="D62" t="s">
        <v>0</v>
      </c>
      <c r="E62" s="1">
        <v>50</v>
      </c>
      <c r="F62" s="1">
        <v>195000</v>
      </c>
      <c r="G62" s="1">
        <f>Table1[[#This Row],[Volume]]*Table1[[#This Row],[Harga satuan pembelian]]</f>
        <v>9750000</v>
      </c>
      <c r="H62" s="1">
        <v>225000</v>
      </c>
      <c r="I62" s="1">
        <f>Table1[[#This Row],[Harga satuan penjualan]]*Table1[[#This Row],[Volume]]</f>
        <v>11250000</v>
      </c>
      <c r="J62" s="1">
        <f>Table1[[#This Row],[Total Penjualan]]-Table1[[#This Row],[Total pembelian]]</f>
        <v>1500000</v>
      </c>
      <c r="L62" s="2"/>
    </row>
    <row r="63" spans="1:12" x14ac:dyDescent="0.2">
      <c r="A63" s="3">
        <v>45719</v>
      </c>
      <c r="B63" s="3" t="s">
        <v>13</v>
      </c>
      <c r="C63" s="3" t="s">
        <v>15</v>
      </c>
      <c r="D63" t="s">
        <v>10</v>
      </c>
      <c r="E63" s="1">
        <v>70</v>
      </c>
      <c r="F63" s="1">
        <v>135000</v>
      </c>
      <c r="G63" s="1">
        <f>Table1[[#This Row],[Volume]]*Table1[[#This Row],[Harga satuan pembelian]]</f>
        <v>9450000</v>
      </c>
      <c r="H63" s="1">
        <v>210000</v>
      </c>
      <c r="I63" s="1">
        <f>Table1[[#This Row],[Harga satuan penjualan]]*Table1[[#This Row],[Volume]]</f>
        <v>14700000</v>
      </c>
      <c r="J63" s="1">
        <f>Table1[[#This Row],[Total Penjualan]]-Table1[[#This Row],[Total pembelian]]</f>
        <v>5250000</v>
      </c>
      <c r="L63" s="2"/>
    </row>
    <row r="64" spans="1:12" x14ac:dyDescent="0.2">
      <c r="A64" s="3">
        <v>45720</v>
      </c>
      <c r="B64" s="3" t="s">
        <v>18</v>
      </c>
      <c r="C64" s="3" t="s">
        <v>15</v>
      </c>
      <c r="D64" t="s">
        <v>2</v>
      </c>
      <c r="E64" s="1">
        <v>50</v>
      </c>
      <c r="F64" s="1">
        <v>135000</v>
      </c>
      <c r="G64" s="1">
        <f>Table1[[#This Row],[Volume]]*Table1[[#This Row],[Harga satuan pembelian]]</f>
        <v>6750000</v>
      </c>
      <c r="H64" s="1">
        <v>210000</v>
      </c>
      <c r="I64" s="1">
        <f>Table1[[#This Row],[Harga satuan penjualan]]*Table1[[#This Row],[Volume]]</f>
        <v>10500000</v>
      </c>
      <c r="J64" s="1">
        <f>Table1[[#This Row],[Total Penjualan]]-Table1[[#This Row],[Total pembelian]]</f>
        <v>3750000</v>
      </c>
      <c r="L64" s="2"/>
    </row>
    <row r="65" spans="1:12" x14ac:dyDescent="0.2">
      <c r="A65" s="3">
        <v>45721</v>
      </c>
      <c r="B65" s="3" t="s">
        <v>18</v>
      </c>
      <c r="C65" s="3" t="s">
        <v>15</v>
      </c>
      <c r="D65" t="s">
        <v>0</v>
      </c>
      <c r="E65" s="1">
        <v>60</v>
      </c>
      <c r="F65" s="1">
        <v>115000</v>
      </c>
      <c r="G65" s="1">
        <f>Table1[[#This Row],[Volume]]*Table1[[#This Row],[Harga satuan pembelian]]</f>
        <v>6900000</v>
      </c>
      <c r="H65" s="1">
        <v>225000</v>
      </c>
      <c r="I65" s="1">
        <f>Table1[[#This Row],[Harga satuan penjualan]]*Table1[[#This Row],[Volume]]</f>
        <v>13500000</v>
      </c>
      <c r="J65" s="1">
        <f>Table1[[#This Row],[Total Penjualan]]-Table1[[#This Row],[Total pembelian]]</f>
        <v>6600000</v>
      </c>
      <c r="L65" s="2"/>
    </row>
    <row r="66" spans="1:12" x14ac:dyDescent="0.2">
      <c r="A66" s="3">
        <v>45722</v>
      </c>
      <c r="B66" s="3" t="s">
        <v>18</v>
      </c>
      <c r="C66" s="3" t="s">
        <v>16</v>
      </c>
      <c r="D66" t="s">
        <v>10</v>
      </c>
      <c r="E66" s="1">
        <v>80</v>
      </c>
      <c r="F66" s="1">
        <v>125000</v>
      </c>
      <c r="G66" s="1">
        <f>Table1[[#This Row],[Volume]]*Table1[[#This Row],[Harga satuan pembelian]]</f>
        <v>10000000</v>
      </c>
      <c r="H66" s="1">
        <v>210000</v>
      </c>
      <c r="I66" s="1">
        <f>Table1[[#This Row],[Harga satuan penjualan]]*Table1[[#This Row],[Volume]]</f>
        <v>16800000</v>
      </c>
      <c r="J66" s="1">
        <f>Table1[[#This Row],[Total Penjualan]]-Table1[[#This Row],[Total pembelian]]</f>
        <v>6800000</v>
      </c>
      <c r="L66" s="2"/>
    </row>
    <row r="67" spans="1:12" x14ac:dyDescent="0.2">
      <c r="A67" s="3">
        <v>45723</v>
      </c>
      <c r="B67" s="3" t="s">
        <v>18</v>
      </c>
      <c r="C67" s="3" t="s">
        <v>16</v>
      </c>
      <c r="D67" t="s">
        <v>2</v>
      </c>
      <c r="E67" s="1">
        <v>40</v>
      </c>
      <c r="F67" s="1">
        <v>115000</v>
      </c>
      <c r="G67" s="1">
        <f>Table1[[#This Row],[Volume]]*Table1[[#This Row],[Harga satuan pembelian]]</f>
        <v>4600000</v>
      </c>
      <c r="H67" s="1">
        <v>210000</v>
      </c>
      <c r="I67" s="1">
        <f>Table1[[#This Row],[Harga satuan penjualan]]*Table1[[#This Row],[Volume]]</f>
        <v>8400000</v>
      </c>
      <c r="J67" s="1">
        <f>Table1[[#This Row],[Total Penjualan]]-Table1[[#This Row],[Total pembelian]]</f>
        <v>3800000</v>
      </c>
      <c r="L67" s="2"/>
    </row>
    <row r="68" spans="1:12" x14ac:dyDescent="0.2">
      <c r="A68" s="3">
        <v>45724</v>
      </c>
      <c r="B68" s="3" t="s">
        <v>18</v>
      </c>
      <c r="C68" s="3" t="s">
        <v>16</v>
      </c>
      <c r="D68" t="s">
        <v>0</v>
      </c>
      <c r="E68" s="1">
        <v>70</v>
      </c>
      <c r="F68" s="1">
        <v>205000</v>
      </c>
      <c r="G68" s="1">
        <f>Table1[[#This Row],[Volume]]*Table1[[#This Row],[Harga satuan pembelian]]</f>
        <v>14350000</v>
      </c>
      <c r="H68" s="1">
        <v>225000</v>
      </c>
      <c r="I68" s="1">
        <f>Table1[[#This Row],[Harga satuan penjualan]]*Table1[[#This Row],[Volume]]</f>
        <v>15750000</v>
      </c>
      <c r="J68" s="1">
        <f>Table1[[#This Row],[Total Penjualan]]-Table1[[#This Row],[Total pembelian]]</f>
        <v>1400000</v>
      </c>
      <c r="L68" s="2"/>
    </row>
    <row r="69" spans="1:12" x14ac:dyDescent="0.2">
      <c r="A69" s="3">
        <v>45725</v>
      </c>
      <c r="B69" s="3" t="s">
        <v>18</v>
      </c>
      <c r="C69" s="3" t="s">
        <v>16</v>
      </c>
      <c r="D69" t="s">
        <v>10</v>
      </c>
      <c r="E69" s="1">
        <v>90</v>
      </c>
      <c r="F69" s="1">
        <v>195000</v>
      </c>
      <c r="G69" s="1">
        <f>Table1[[#This Row],[Volume]]*Table1[[#This Row],[Harga satuan pembelian]]</f>
        <v>17550000</v>
      </c>
      <c r="H69" s="1">
        <v>210000</v>
      </c>
      <c r="I69" s="1">
        <f>Table1[[#This Row],[Harga satuan penjualan]]*Table1[[#This Row],[Volume]]</f>
        <v>18900000</v>
      </c>
      <c r="J69" s="1">
        <f>Table1[[#This Row],[Total Penjualan]]-Table1[[#This Row],[Total pembelian]]</f>
        <v>1350000</v>
      </c>
      <c r="L69" s="2"/>
    </row>
    <row r="70" spans="1:12" x14ac:dyDescent="0.2">
      <c r="A70" s="3">
        <v>45726</v>
      </c>
      <c r="B70" s="3" t="s">
        <v>18</v>
      </c>
      <c r="C70" s="3" t="s">
        <v>17</v>
      </c>
      <c r="D70" t="s">
        <v>2</v>
      </c>
      <c r="E70" s="1">
        <v>60</v>
      </c>
      <c r="F70" s="1">
        <v>205000</v>
      </c>
      <c r="G70" s="1">
        <f>Table1[[#This Row],[Volume]]*Table1[[#This Row],[Harga satuan pembelian]]</f>
        <v>12300000</v>
      </c>
      <c r="H70" s="1">
        <v>210000</v>
      </c>
      <c r="I70" s="1">
        <f>Table1[[#This Row],[Harga satuan penjualan]]*Table1[[#This Row],[Volume]]</f>
        <v>12600000</v>
      </c>
      <c r="J70" s="1">
        <f>Table1[[#This Row],[Total Penjualan]]-Table1[[#This Row],[Total pembelian]]</f>
        <v>300000</v>
      </c>
      <c r="L70" s="2"/>
    </row>
    <row r="71" spans="1:12" x14ac:dyDescent="0.2">
      <c r="A71" s="3">
        <v>45727</v>
      </c>
      <c r="B71" s="3" t="s">
        <v>12</v>
      </c>
      <c r="C71" s="3" t="s">
        <v>17</v>
      </c>
      <c r="D71" t="s">
        <v>0</v>
      </c>
      <c r="E71" s="1">
        <v>70</v>
      </c>
      <c r="F71" s="1">
        <v>215000</v>
      </c>
      <c r="G71" s="1">
        <f>Table1[[#This Row],[Volume]]*Table1[[#This Row],[Harga satuan pembelian]]</f>
        <v>15050000</v>
      </c>
      <c r="H71" s="1">
        <v>225000</v>
      </c>
      <c r="I71" s="1">
        <f>Table1[[#This Row],[Harga satuan penjualan]]*Table1[[#This Row],[Volume]]</f>
        <v>15750000</v>
      </c>
      <c r="J71" s="1">
        <f>Table1[[#This Row],[Total Penjualan]]-Table1[[#This Row],[Total pembelian]]</f>
        <v>700000</v>
      </c>
      <c r="L71" s="2"/>
    </row>
    <row r="72" spans="1:12" x14ac:dyDescent="0.2">
      <c r="A72" s="3">
        <v>45728</v>
      </c>
      <c r="B72" s="3" t="s">
        <v>13</v>
      </c>
      <c r="C72" s="3" t="s">
        <v>17</v>
      </c>
      <c r="D72" t="s">
        <v>10</v>
      </c>
      <c r="E72" s="1">
        <v>80</v>
      </c>
      <c r="F72" s="1">
        <v>105000</v>
      </c>
      <c r="G72" s="1">
        <f>Table1[[#This Row],[Volume]]*Table1[[#This Row],[Harga satuan pembelian]]</f>
        <v>8400000</v>
      </c>
      <c r="H72" s="1">
        <v>210000</v>
      </c>
      <c r="I72" s="1">
        <f>Table1[[#This Row],[Harga satuan penjualan]]*Table1[[#This Row],[Volume]]</f>
        <v>16800000</v>
      </c>
      <c r="J72" s="1">
        <f>Table1[[#This Row],[Total Penjualan]]-Table1[[#This Row],[Total pembelian]]</f>
        <v>8400000</v>
      </c>
      <c r="L72" s="2"/>
    </row>
    <row r="73" spans="1:12" x14ac:dyDescent="0.2">
      <c r="A73" s="3">
        <v>45729</v>
      </c>
      <c r="B73" s="3" t="s">
        <v>13</v>
      </c>
      <c r="C73" s="3" t="s">
        <v>17</v>
      </c>
      <c r="D73" t="s">
        <v>2</v>
      </c>
      <c r="E73" s="1">
        <v>40</v>
      </c>
      <c r="F73" s="1">
        <v>165000</v>
      </c>
      <c r="G73" s="1">
        <f>Table1[[#This Row],[Volume]]*Table1[[#This Row],[Harga satuan pembelian]]</f>
        <v>6600000</v>
      </c>
      <c r="H73" s="1">
        <v>210000</v>
      </c>
      <c r="I73" s="1">
        <f>Table1[[#This Row],[Harga satuan penjualan]]*Table1[[#This Row],[Volume]]</f>
        <v>8400000</v>
      </c>
      <c r="J73" s="1">
        <f>Table1[[#This Row],[Total Penjualan]]-Table1[[#This Row],[Total pembelian]]</f>
        <v>1800000</v>
      </c>
      <c r="L73" s="2"/>
    </row>
    <row r="74" spans="1:12" x14ac:dyDescent="0.2">
      <c r="A74" s="3">
        <v>45730</v>
      </c>
      <c r="B74" s="3" t="s">
        <v>18</v>
      </c>
      <c r="C74" s="3" t="s">
        <v>15</v>
      </c>
      <c r="D74" t="s">
        <v>0</v>
      </c>
      <c r="E74" s="1">
        <v>50</v>
      </c>
      <c r="F74" s="1">
        <v>155000</v>
      </c>
      <c r="G74" s="1">
        <f>Table1[[#This Row],[Volume]]*Table1[[#This Row],[Harga satuan pembelian]]</f>
        <v>7750000</v>
      </c>
      <c r="H74" s="1">
        <v>225000</v>
      </c>
      <c r="I74" s="1">
        <f>Table1[[#This Row],[Harga satuan penjualan]]*Table1[[#This Row],[Volume]]</f>
        <v>11250000</v>
      </c>
      <c r="J74" s="1">
        <f>Table1[[#This Row],[Total Penjualan]]-Table1[[#This Row],[Total pembelian]]</f>
        <v>3500000</v>
      </c>
      <c r="L74" s="2"/>
    </row>
    <row r="75" spans="1:12" x14ac:dyDescent="0.2">
      <c r="A75" s="3">
        <v>45731</v>
      </c>
      <c r="B75" s="3" t="s">
        <v>18</v>
      </c>
      <c r="C75" s="3" t="s">
        <v>15</v>
      </c>
      <c r="D75" t="s">
        <v>10</v>
      </c>
      <c r="E75" s="1">
        <v>70</v>
      </c>
      <c r="F75" s="1">
        <v>135000</v>
      </c>
      <c r="G75" s="1">
        <f>Table1[[#This Row],[Volume]]*Table1[[#This Row],[Harga satuan pembelian]]</f>
        <v>9450000</v>
      </c>
      <c r="H75" s="1">
        <v>210000</v>
      </c>
      <c r="I75" s="1">
        <f>Table1[[#This Row],[Harga satuan penjualan]]*Table1[[#This Row],[Volume]]</f>
        <v>14700000</v>
      </c>
      <c r="J75" s="1">
        <f>Table1[[#This Row],[Total Penjualan]]-Table1[[#This Row],[Total pembelian]]</f>
        <v>5250000</v>
      </c>
      <c r="L75" s="2"/>
    </row>
    <row r="76" spans="1:12" x14ac:dyDescent="0.2">
      <c r="A76" s="3">
        <v>45732</v>
      </c>
      <c r="B76" s="3" t="s">
        <v>18</v>
      </c>
      <c r="C76" s="3" t="s">
        <v>15</v>
      </c>
      <c r="D76" t="s">
        <v>2</v>
      </c>
      <c r="E76" s="1">
        <v>60</v>
      </c>
      <c r="F76" s="1">
        <v>105000</v>
      </c>
      <c r="G76" s="1">
        <f>Table1[[#This Row],[Volume]]*Table1[[#This Row],[Harga satuan pembelian]]</f>
        <v>6300000</v>
      </c>
      <c r="H76" s="1">
        <v>210000</v>
      </c>
      <c r="I76" s="1">
        <f>Table1[[#This Row],[Harga satuan penjualan]]*Table1[[#This Row],[Volume]]</f>
        <v>12600000</v>
      </c>
      <c r="J76" s="1">
        <f>Table1[[#This Row],[Total Penjualan]]-Table1[[#This Row],[Total pembelian]]</f>
        <v>6300000</v>
      </c>
      <c r="L76" s="2"/>
    </row>
    <row r="77" spans="1:12" x14ac:dyDescent="0.2">
      <c r="A77" s="3">
        <v>45733</v>
      </c>
      <c r="B77" s="3" t="s">
        <v>18</v>
      </c>
      <c r="C77" s="3" t="s">
        <v>15</v>
      </c>
      <c r="D77" t="s">
        <v>0</v>
      </c>
      <c r="E77" s="1">
        <v>70</v>
      </c>
      <c r="F77" s="1">
        <v>125000</v>
      </c>
      <c r="G77" s="1">
        <f>Table1[[#This Row],[Volume]]*Table1[[#This Row],[Harga satuan pembelian]]</f>
        <v>8750000</v>
      </c>
      <c r="H77" s="1">
        <v>225000</v>
      </c>
      <c r="I77" s="1">
        <f>Table1[[#This Row],[Harga satuan penjualan]]*Table1[[#This Row],[Volume]]</f>
        <v>15750000</v>
      </c>
      <c r="J77" s="1">
        <f>Table1[[#This Row],[Total Penjualan]]-Table1[[#This Row],[Total pembelian]]</f>
        <v>7000000</v>
      </c>
      <c r="L77" s="2"/>
    </row>
    <row r="78" spans="1:12" x14ac:dyDescent="0.2">
      <c r="A78" s="3">
        <v>45734</v>
      </c>
      <c r="B78" s="3" t="s">
        <v>18</v>
      </c>
      <c r="C78" s="3" t="s">
        <v>15</v>
      </c>
      <c r="D78" t="s">
        <v>10</v>
      </c>
      <c r="E78" s="1">
        <v>60</v>
      </c>
      <c r="F78" s="1">
        <v>205000</v>
      </c>
      <c r="G78" s="1">
        <f>Table1[[#This Row],[Volume]]*Table1[[#This Row],[Harga satuan pembelian]]</f>
        <v>12300000</v>
      </c>
      <c r="H78" s="1">
        <v>210000</v>
      </c>
      <c r="I78" s="1">
        <f>Table1[[#This Row],[Harga satuan penjualan]]*Table1[[#This Row],[Volume]]</f>
        <v>12600000</v>
      </c>
      <c r="J78" s="1">
        <f>Table1[[#This Row],[Total Penjualan]]-Table1[[#This Row],[Total pembelian]]</f>
        <v>300000</v>
      </c>
      <c r="L78" s="2"/>
    </row>
    <row r="79" spans="1:12" x14ac:dyDescent="0.2">
      <c r="A79" s="3">
        <v>45735</v>
      </c>
      <c r="B79" s="3" t="s">
        <v>18</v>
      </c>
      <c r="C79" s="3" t="s">
        <v>15</v>
      </c>
      <c r="D79" t="s">
        <v>2</v>
      </c>
      <c r="E79" s="1">
        <v>70</v>
      </c>
      <c r="F79" s="1">
        <v>105000</v>
      </c>
      <c r="G79" s="1">
        <f>Table1[[#This Row],[Volume]]*Table1[[#This Row],[Harga satuan pembelian]]</f>
        <v>7350000</v>
      </c>
      <c r="H79" s="1">
        <v>210000</v>
      </c>
      <c r="I79" s="1">
        <f>Table1[[#This Row],[Harga satuan penjualan]]*Table1[[#This Row],[Volume]]</f>
        <v>14700000</v>
      </c>
      <c r="J79" s="1">
        <f>Table1[[#This Row],[Total Penjualan]]-Table1[[#This Row],[Total pembelian]]</f>
        <v>7350000</v>
      </c>
      <c r="L79" s="2"/>
    </row>
    <row r="80" spans="1:12" x14ac:dyDescent="0.2">
      <c r="A80" s="3">
        <v>45736</v>
      </c>
      <c r="B80" s="3" t="s">
        <v>18</v>
      </c>
      <c r="C80" s="3" t="s">
        <v>15</v>
      </c>
      <c r="D80" t="s">
        <v>0</v>
      </c>
      <c r="E80" s="1">
        <v>70</v>
      </c>
      <c r="F80" s="1">
        <v>145000</v>
      </c>
      <c r="G80" s="1">
        <f>Table1[[#This Row],[Volume]]*Table1[[#This Row],[Harga satuan pembelian]]</f>
        <v>10150000</v>
      </c>
      <c r="H80" s="1">
        <v>225000</v>
      </c>
      <c r="I80" s="1">
        <f>Table1[[#This Row],[Harga satuan penjualan]]*Table1[[#This Row],[Volume]]</f>
        <v>15750000</v>
      </c>
      <c r="J80" s="1">
        <f>Table1[[#This Row],[Total Penjualan]]-Table1[[#This Row],[Total pembelian]]</f>
        <v>5600000</v>
      </c>
      <c r="L80" s="2"/>
    </row>
    <row r="81" spans="1:12" x14ac:dyDescent="0.2">
      <c r="A81" s="3">
        <v>45737</v>
      </c>
      <c r="B81" s="3" t="s">
        <v>12</v>
      </c>
      <c r="C81" s="3" t="s">
        <v>15</v>
      </c>
      <c r="D81" t="s">
        <v>10</v>
      </c>
      <c r="E81" s="1">
        <v>70</v>
      </c>
      <c r="F81" s="1">
        <v>135000</v>
      </c>
      <c r="G81" s="1">
        <f>Table1[[#This Row],[Volume]]*Table1[[#This Row],[Harga satuan pembelian]]</f>
        <v>9450000</v>
      </c>
      <c r="H81" s="1">
        <v>210000</v>
      </c>
      <c r="I81" s="1">
        <f>Table1[[#This Row],[Harga satuan penjualan]]*Table1[[#This Row],[Volume]]</f>
        <v>14700000</v>
      </c>
      <c r="J81" s="1">
        <f>Table1[[#This Row],[Total Penjualan]]-Table1[[#This Row],[Total pembelian]]</f>
        <v>5250000</v>
      </c>
      <c r="L81" s="2"/>
    </row>
    <row r="82" spans="1:12" x14ac:dyDescent="0.2">
      <c r="A82" s="3">
        <v>45738</v>
      </c>
      <c r="B82" s="3" t="s">
        <v>13</v>
      </c>
      <c r="C82" s="3" t="s">
        <v>15</v>
      </c>
      <c r="D82" t="s">
        <v>2</v>
      </c>
      <c r="E82" s="1">
        <v>80</v>
      </c>
      <c r="F82" s="1">
        <v>195000</v>
      </c>
      <c r="G82" s="1">
        <f>Table1[[#This Row],[Volume]]*Table1[[#This Row],[Harga satuan pembelian]]</f>
        <v>15600000</v>
      </c>
      <c r="H82" s="1">
        <v>210000</v>
      </c>
      <c r="I82" s="1">
        <f>Table1[[#This Row],[Harga satuan penjualan]]*Table1[[#This Row],[Volume]]</f>
        <v>16800000</v>
      </c>
      <c r="J82" s="1">
        <f>Table1[[#This Row],[Total Penjualan]]-Table1[[#This Row],[Total pembelian]]</f>
        <v>1200000</v>
      </c>
      <c r="L82" s="2"/>
    </row>
    <row r="83" spans="1:12" x14ac:dyDescent="0.2">
      <c r="A83" s="3">
        <v>45739</v>
      </c>
      <c r="B83" s="3" t="s">
        <v>13</v>
      </c>
      <c r="C83" s="3" t="s">
        <v>15</v>
      </c>
      <c r="D83" t="s">
        <v>0</v>
      </c>
      <c r="E83" s="1">
        <v>50</v>
      </c>
      <c r="F83" s="1">
        <v>125000</v>
      </c>
      <c r="G83" s="1">
        <f>Table1[[#This Row],[Volume]]*Table1[[#This Row],[Harga satuan pembelian]]</f>
        <v>6250000</v>
      </c>
      <c r="H83" s="1">
        <v>225000</v>
      </c>
      <c r="I83" s="1">
        <f>Table1[[#This Row],[Harga satuan penjualan]]*Table1[[#This Row],[Volume]]</f>
        <v>11250000</v>
      </c>
      <c r="J83" s="1">
        <f>Table1[[#This Row],[Total Penjualan]]-Table1[[#This Row],[Total pembelian]]</f>
        <v>5000000</v>
      </c>
      <c r="L83" s="2"/>
    </row>
    <row r="84" spans="1:12" x14ac:dyDescent="0.2">
      <c r="A84" s="3">
        <v>45740</v>
      </c>
      <c r="B84" s="3" t="s">
        <v>18</v>
      </c>
      <c r="C84" s="3" t="s">
        <v>15</v>
      </c>
      <c r="D84" t="s">
        <v>10</v>
      </c>
      <c r="E84" s="1">
        <v>70</v>
      </c>
      <c r="F84" s="1">
        <v>155000</v>
      </c>
      <c r="G84" s="1">
        <f>Table1[[#This Row],[Volume]]*Table1[[#This Row],[Harga satuan pembelian]]</f>
        <v>10850000</v>
      </c>
      <c r="H84" s="1">
        <v>210000</v>
      </c>
      <c r="I84" s="1">
        <f>Table1[[#This Row],[Harga satuan penjualan]]*Table1[[#This Row],[Volume]]</f>
        <v>14700000</v>
      </c>
      <c r="J84" s="1">
        <f>Table1[[#This Row],[Total Penjualan]]-Table1[[#This Row],[Total pembelian]]</f>
        <v>3850000</v>
      </c>
      <c r="L84" s="2"/>
    </row>
    <row r="85" spans="1:12" x14ac:dyDescent="0.2">
      <c r="A85" s="3">
        <v>45741</v>
      </c>
      <c r="B85" s="3" t="s">
        <v>18</v>
      </c>
      <c r="C85" s="3" t="s">
        <v>15</v>
      </c>
      <c r="D85" t="s">
        <v>2</v>
      </c>
      <c r="E85" s="1">
        <v>50</v>
      </c>
      <c r="F85" s="1">
        <v>105000</v>
      </c>
      <c r="G85" s="1">
        <f>Table1[[#This Row],[Volume]]*Table1[[#This Row],[Harga satuan pembelian]]</f>
        <v>5250000</v>
      </c>
      <c r="H85" s="1">
        <v>210000</v>
      </c>
      <c r="I85" s="1">
        <f>Table1[[#This Row],[Harga satuan penjualan]]*Table1[[#This Row],[Volume]]</f>
        <v>10500000</v>
      </c>
      <c r="J85" s="1">
        <f>Table1[[#This Row],[Total Penjualan]]-Table1[[#This Row],[Total pembelian]]</f>
        <v>5250000</v>
      </c>
      <c r="L85" s="2"/>
    </row>
    <row r="86" spans="1:12" x14ac:dyDescent="0.2">
      <c r="A86" s="3">
        <v>45742</v>
      </c>
      <c r="B86" s="3" t="s">
        <v>18</v>
      </c>
      <c r="C86" s="3" t="s">
        <v>16</v>
      </c>
      <c r="D86" t="s">
        <v>0</v>
      </c>
      <c r="E86" s="1">
        <v>50</v>
      </c>
      <c r="F86" s="1">
        <v>195000</v>
      </c>
      <c r="G86" s="1">
        <f>Table1[[#This Row],[Volume]]*Table1[[#This Row],[Harga satuan pembelian]]</f>
        <v>9750000</v>
      </c>
      <c r="H86" s="1">
        <v>225000</v>
      </c>
      <c r="I86" s="1">
        <f>Table1[[#This Row],[Harga satuan penjualan]]*Table1[[#This Row],[Volume]]</f>
        <v>11250000</v>
      </c>
      <c r="J86" s="1">
        <f>Table1[[#This Row],[Total Penjualan]]-Table1[[#This Row],[Total pembelian]]</f>
        <v>1500000</v>
      </c>
      <c r="L86" s="2"/>
    </row>
    <row r="87" spans="1:12" x14ac:dyDescent="0.2">
      <c r="A87" s="3">
        <v>45743</v>
      </c>
      <c r="B87" s="3" t="s">
        <v>18</v>
      </c>
      <c r="C87" s="3" t="s">
        <v>16</v>
      </c>
      <c r="D87" t="s">
        <v>10</v>
      </c>
      <c r="E87" s="1">
        <v>40</v>
      </c>
      <c r="F87" s="1">
        <v>125000</v>
      </c>
      <c r="G87" s="1">
        <f>Table1[[#This Row],[Volume]]*Table1[[#This Row],[Harga satuan pembelian]]</f>
        <v>5000000</v>
      </c>
      <c r="H87" s="1">
        <v>210000</v>
      </c>
      <c r="I87" s="1">
        <f>Table1[[#This Row],[Harga satuan penjualan]]*Table1[[#This Row],[Volume]]</f>
        <v>8400000</v>
      </c>
      <c r="J87" s="1">
        <f>Table1[[#This Row],[Total Penjualan]]-Table1[[#This Row],[Total pembelian]]</f>
        <v>3400000</v>
      </c>
      <c r="L87" s="2"/>
    </row>
    <row r="88" spans="1:12" x14ac:dyDescent="0.2">
      <c r="A88" s="3">
        <v>45744</v>
      </c>
      <c r="B88" s="3" t="s">
        <v>18</v>
      </c>
      <c r="C88" s="3" t="s">
        <v>16</v>
      </c>
      <c r="D88" t="s">
        <v>2</v>
      </c>
      <c r="E88" s="1">
        <v>50</v>
      </c>
      <c r="F88" s="1">
        <v>205000</v>
      </c>
      <c r="G88" s="1">
        <f>Table1[[#This Row],[Volume]]*Table1[[#This Row],[Harga satuan pembelian]]</f>
        <v>10250000</v>
      </c>
      <c r="H88" s="1">
        <v>210000</v>
      </c>
      <c r="I88" s="1">
        <f>Table1[[#This Row],[Harga satuan penjualan]]*Table1[[#This Row],[Volume]]</f>
        <v>10500000</v>
      </c>
      <c r="J88" s="1">
        <f>Table1[[#This Row],[Total Penjualan]]-Table1[[#This Row],[Total pembelian]]</f>
        <v>250000</v>
      </c>
      <c r="L88" s="2"/>
    </row>
    <row r="89" spans="1:12" x14ac:dyDescent="0.2">
      <c r="A89" s="3">
        <v>45745</v>
      </c>
      <c r="B89" s="3" t="s">
        <v>18</v>
      </c>
      <c r="C89" s="3" t="s">
        <v>16</v>
      </c>
      <c r="D89" t="s">
        <v>0</v>
      </c>
      <c r="E89" s="1">
        <v>60</v>
      </c>
      <c r="F89" s="1">
        <v>105000</v>
      </c>
      <c r="G89" s="1">
        <f>Table1[[#This Row],[Volume]]*Table1[[#This Row],[Harga satuan pembelian]]</f>
        <v>6300000</v>
      </c>
      <c r="H89" s="1">
        <v>225000</v>
      </c>
      <c r="I89" s="1">
        <f>Table1[[#This Row],[Harga satuan penjualan]]*Table1[[#This Row],[Volume]]</f>
        <v>13500000</v>
      </c>
      <c r="J89" s="1">
        <f>Table1[[#This Row],[Total Penjualan]]-Table1[[#This Row],[Total pembelian]]</f>
        <v>7200000</v>
      </c>
      <c r="L89" s="2"/>
    </row>
    <row r="90" spans="1:12" x14ac:dyDescent="0.2">
      <c r="A90" s="3">
        <v>45746</v>
      </c>
      <c r="B90" s="3" t="s">
        <v>18</v>
      </c>
      <c r="C90" s="3" t="s">
        <v>17</v>
      </c>
      <c r="D90" t="s">
        <v>10</v>
      </c>
      <c r="E90" s="1">
        <v>70</v>
      </c>
      <c r="F90" s="1">
        <v>195000</v>
      </c>
      <c r="G90" s="1">
        <f>Table1[[#This Row],[Volume]]*Table1[[#This Row],[Harga satuan pembelian]]</f>
        <v>13650000</v>
      </c>
      <c r="H90" s="1">
        <v>210000</v>
      </c>
      <c r="I90" s="1">
        <f>Table1[[#This Row],[Harga satuan penjualan]]*Table1[[#This Row],[Volume]]</f>
        <v>14700000</v>
      </c>
      <c r="J90" s="1">
        <f>Table1[[#This Row],[Total Penjualan]]-Table1[[#This Row],[Total pembelian]]</f>
        <v>1050000</v>
      </c>
      <c r="L90" s="2"/>
    </row>
    <row r="91" spans="1:12" x14ac:dyDescent="0.2">
      <c r="A91" s="3">
        <v>45747</v>
      </c>
      <c r="B91" s="3" t="s">
        <v>12</v>
      </c>
      <c r="C91" s="3" t="s">
        <v>17</v>
      </c>
      <c r="D91" t="s">
        <v>2</v>
      </c>
      <c r="E91" s="1">
        <v>40</v>
      </c>
      <c r="F91" s="1">
        <v>105000</v>
      </c>
      <c r="G91" s="1">
        <f>Table1[[#This Row],[Volume]]*Table1[[#This Row],[Harga satuan pembelian]]</f>
        <v>4200000</v>
      </c>
      <c r="H91" s="1">
        <v>210000</v>
      </c>
      <c r="I91" s="1">
        <f>Table1[[#This Row],[Harga satuan penjualan]]*Table1[[#This Row],[Volume]]</f>
        <v>8400000</v>
      </c>
      <c r="J91" s="1">
        <f>Table1[[#This Row],[Total Penjualan]]-Table1[[#This Row],[Total pembelian]]</f>
        <v>4200000</v>
      </c>
      <c r="L91" s="2"/>
    </row>
    <row r="92" spans="1:12" x14ac:dyDescent="0.2">
      <c r="A92" s="3">
        <v>45748</v>
      </c>
      <c r="B92" s="3" t="s">
        <v>13</v>
      </c>
      <c r="C92" s="3" t="s">
        <v>17</v>
      </c>
      <c r="D92" t="s">
        <v>0</v>
      </c>
      <c r="E92" s="1">
        <v>80</v>
      </c>
      <c r="F92" s="1">
        <v>95000</v>
      </c>
      <c r="G92" s="1">
        <f>Table1[[#This Row],[Volume]]*Table1[[#This Row],[Harga satuan pembelian]]</f>
        <v>7600000</v>
      </c>
      <c r="H92" s="1">
        <v>225000</v>
      </c>
      <c r="I92" s="1">
        <f>Table1[[#This Row],[Harga satuan penjualan]]*Table1[[#This Row],[Volume]]</f>
        <v>18000000</v>
      </c>
      <c r="J92" s="1">
        <f>Table1[[#This Row],[Total Penjualan]]-Table1[[#This Row],[Total pembelian]]</f>
        <v>10400000</v>
      </c>
      <c r="L92" s="2"/>
    </row>
    <row r="93" spans="1:12" x14ac:dyDescent="0.2">
      <c r="A93" s="3">
        <v>45749</v>
      </c>
      <c r="B93" s="3" t="s">
        <v>13</v>
      </c>
      <c r="C93" s="3" t="s">
        <v>17</v>
      </c>
      <c r="D93" t="s">
        <v>10</v>
      </c>
      <c r="E93" s="1">
        <v>80</v>
      </c>
      <c r="F93" s="1">
        <v>195000</v>
      </c>
      <c r="G93" s="1">
        <f>Table1[[#This Row],[Volume]]*Table1[[#This Row],[Harga satuan pembelian]]</f>
        <v>15600000</v>
      </c>
      <c r="H93" s="1">
        <v>210000</v>
      </c>
      <c r="I93" s="1">
        <f>Table1[[#This Row],[Harga satuan penjualan]]*Table1[[#This Row],[Volume]]</f>
        <v>16800000</v>
      </c>
      <c r="J93" s="1">
        <f>Table1[[#This Row],[Total Penjualan]]-Table1[[#This Row],[Total pembelian]]</f>
        <v>1200000</v>
      </c>
      <c r="L93" s="2"/>
    </row>
    <row r="94" spans="1:12" x14ac:dyDescent="0.2">
      <c r="A94" s="3">
        <v>45750</v>
      </c>
      <c r="B94" s="3" t="s">
        <v>18</v>
      </c>
      <c r="C94" s="3" t="s">
        <v>15</v>
      </c>
      <c r="D94" t="s">
        <v>2</v>
      </c>
      <c r="E94" s="1">
        <v>60</v>
      </c>
      <c r="F94" s="1">
        <v>95000</v>
      </c>
      <c r="G94" s="1">
        <f>Table1[[#This Row],[Volume]]*Table1[[#This Row],[Harga satuan pembelian]]</f>
        <v>5700000</v>
      </c>
      <c r="H94" s="1">
        <v>210000</v>
      </c>
      <c r="I94" s="1">
        <f>Table1[[#This Row],[Harga satuan penjualan]]*Table1[[#This Row],[Volume]]</f>
        <v>12600000</v>
      </c>
      <c r="J94" s="1">
        <f>Table1[[#This Row],[Total Penjualan]]-Table1[[#This Row],[Total pembelian]]</f>
        <v>6900000</v>
      </c>
      <c r="L94" s="2"/>
    </row>
    <row r="95" spans="1:12" x14ac:dyDescent="0.2">
      <c r="A95" s="3">
        <v>45751</v>
      </c>
      <c r="B95" s="3" t="s">
        <v>18</v>
      </c>
      <c r="C95" s="3" t="s">
        <v>15</v>
      </c>
      <c r="D95" t="s">
        <v>0</v>
      </c>
      <c r="E95" s="1">
        <v>40</v>
      </c>
      <c r="F95" s="1">
        <v>155000</v>
      </c>
      <c r="G95" s="1">
        <f>Table1[[#This Row],[Volume]]*Table1[[#This Row],[Harga satuan pembelian]]</f>
        <v>6200000</v>
      </c>
      <c r="H95" s="1">
        <v>225000</v>
      </c>
      <c r="I95" s="1">
        <f>Table1[[#This Row],[Harga satuan penjualan]]*Table1[[#This Row],[Volume]]</f>
        <v>9000000</v>
      </c>
      <c r="J95" s="1">
        <f>Table1[[#This Row],[Total Penjualan]]-Table1[[#This Row],[Total pembelian]]</f>
        <v>2800000</v>
      </c>
      <c r="L95" s="2"/>
    </row>
    <row r="96" spans="1:12" x14ac:dyDescent="0.2">
      <c r="A96" s="3">
        <v>45752</v>
      </c>
      <c r="B96" s="3" t="s">
        <v>18</v>
      </c>
      <c r="C96" s="3" t="s">
        <v>15</v>
      </c>
      <c r="D96" t="s">
        <v>10</v>
      </c>
      <c r="E96" s="1">
        <v>80</v>
      </c>
      <c r="F96" s="1">
        <v>125000</v>
      </c>
      <c r="G96" s="1">
        <f>Table1[[#This Row],[Volume]]*Table1[[#This Row],[Harga satuan pembelian]]</f>
        <v>10000000</v>
      </c>
      <c r="H96" s="1">
        <v>210000</v>
      </c>
      <c r="I96" s="1">
        <f>Table1[[#This Row],[Harga satuan penjualan]]*Table1[[#This Row],[Volume]]</f>
        <v>16800000</v>
      </c>
      <c r="J96" s="1">
        <f>Table1[[#This Row],[Total Penjualan]]-Table1[[#This Row],[Total pembelian]]</f>
        <v>6800000</v>
      </c>
      <c r="L96" s="2"/>
    </row>
    <row r="97" spans="1:12" x14ac:dyDescent="0.2">
      <c r="A97" s="3">
        <v>45753</v>
      </c>
      <c r="B97" s="3" t="s">
        <v>18</v>
      </c>
      <c r="C97" s="3" t="s">
        <v>15</v>
      </c>
      <c r="D97" t="s">
        <v>2</v>
      </c>
      <c r="E97" s="1">
        <v>50</v>
      </c>
      <c r="F97" s="1">
        <v>165000</v>
      </c>
      <c r="G97" s="1">
        <f>Table1[[#This Row],[Volume]]*Table1[[#This Row],[Harga satuan pembelian]]</f>
        <v>8250000</v>
      </c>
      <c r="H97" s="1">
        <v>210000</v>
      </c>
      <c r="I97" s="1">
        <f>Table1[[#This Row],[Harga satuan penjualan]]*Table1[[#This Row],[Volume]]</f>
        <v>10500000</v>
      </c>
      <c r="J97" s="1">
        <f>Table1[[#This Row],[Total Penjualan]]-Table1[[#This Row],[Total pembelian]]</f>
        <v>2250000</v>
      </c>
      <c r="L97" s="2"/>
    </row>
    <row r="98" spans="1:12" x14ac:dyDescent="0.2">
      <c r="A98" s="3">
        <v>45754</v>
      </c>
      <c r="B98" s="3" t="s">
        <v>18</v>
      </c>
      <c r="C98" s="3" t="s">
        <v>15</v>
      </c>
      <c r="D98" t="s">
        <v>0</v>
      </c>
      <c r="E98" s="1">
        <v>90</v>
      </c>
      <c r="F98" s="1">
        <v>195000</v>
      </c>
      <c r="G98" s="1">
        <f>Table1[[#This Row],[Volume]]*Table1[[#This Row],[Harga satuan pembelian]]</f>
        <v>17550000</v>
      </c>
      <c r="H98" s="1">
        <v>225000</v>
      </c>
      <c r="I98" s="1">
        <f>Table1[[#This Row],[Harga satuan penjualan]]*Table1[[#This Row],[Volume]]</f>
        <v>20250000</v>
      </c>
      <c r="J98" s="1">
        <f>Table1[[#This Row],[Total Penjualan]]-Table1[[#This Row],[Total pembelian]]</f>
        <v>2700000</v>
      </c>
      <c r="L98" s="2"/>
    </row>
    <row r="99" spans="1:12" x14ac:dyDescent="0.2">
      <c r="A99" s="3">
        <v>45755</v>
      </c>
      <c r="B99" s="3" t="s">
        <v>18</v>
      </c>
      <c r="C99" s="3" t="s">
        <v>15</v>
      </c>
      <c r="D99" t="s">
        <v>10</v>
      </c>
      <c r="E99" s="1">
        <v>90</v>
      </c>
      <c r="F99" s="1">
        <v>95000</v>
      </c>
      <c r="G99" s="1">
        <f>Table1[[#This Row],[Volume]]*Table1[[#This Row],[Harga satuan pembelian]]</f>
        <v>8550000</v>
      </c>
      <c r="H99" s="1">
        <v>210000</v>
      </c>
      <c r="I99" s="1">
        <f>Table1[[#This Row],[Harga satuan penjualan]]*Table1[[#This Row],[Volume]]</f>
        <v>18900000</v>
      </c>
      <c r="J99" s="1">
        <f>Table1[[#This Row],[Total Penjualan]]-Table1[[#This Row],[Total pembelian]]</f>
        <v>10350000</v>
      </c>
      <c r="L99" s="2"/>
    </row>
    <row r="100" spans="1:12" x14ac:dyDescent="0.2">
      <c r="A100" s="3">
        <v>45756</v>
      </c>
      <c r="B100" s="3" t="s">
        <v>18</v>
      </c>
      <c r="C100" s="3" t="s">
        <v>15</v>
      </c>
      <c r="D100" t="s">
        <v>2</v>
      </c>
      <c r="E100" s="1">
        <v>60</v>
      </c>
      <c r="F100" s="1">
        <v>105000</v>
      </c>
      <c r="G100" s="1">
        <f>Table1[[#This Row],[Volume]]*Table1[[#This Row],[Harga satuan pembelian]]</f>
        <v>6300000</v>
      </c>
      <c r="H100" s="1">
        <v>210000</v>
      </c>
      <c r="I100" s="1">
        <f>Table1[[#This Row],[Harga satuan penjualan]]*Table1[[#This Row],[Volume]]</f>
        <v>12600000</v>
      </c>
      <c r="J100" s="1">
        <f>Table1[[#This Row],[Total Penjualan]]-Table1[[#This Row],[Total pembelian]]</f>
        <v>6300000</v>
      </c>
      <c r="L100" s="2"/>
    </row>
    <row r="101" spans="1:12" x14ac:dyDescent="0.2">
      <c r="A101" s="3">
        <v>45757</v>
      </c>
      <c r="B101" s="3" t="s">
        <v>12</v>
      </c>
      <c r="C101" s="3" t="s">
        <v>15</v>
      </c>
      <c r="D101" t="s">
        <v>0</v>
      </c>
      <c r="E101" s="1">
        <v>80</v>
      </c>
      <c r="F101" s="1">
        <v>145000</v>
      </c>
      <c r="G101" s="1">
        <f>Table1[[#This Row],[Volume]]*Table1[[#This Row],[Harga satuan pembelian]]</f>
        <v>11600000</v>
      </c>
      <c r="H101" s="1">
        <v>225000</v>
      </c>
      <c r="I101" s="1">
        <f>Table1[[#This Row],[Harga satuan penjualan]]*Table1[[#This Row],[Volume]]</f>
        <v>18000000</v>
      </c>
      <c r="J101" s="1">
        <f>Table1[[#This Row],[Total Penjualan]]-Table1[[#This Row],[Total pembelian]]</f>
        <v>6400000</v>
      </c>
      <c r="L101" s="2"/>
    </row>
    <row r="102" spans="1:12" x14ac:dyDescent="0.2">
      <c r="A102" s="3">
        <v>45758</v>
      </c>
      <c r="B102" s="3" t="s">
        <v>13</v>
      </c>
      <c r="C102" s="3" t="s">
        <v>15</v>
      </c>
      <c r="D102" t="s">
        <v>10</v>
      </c>
      <c r="E102" s="1">
        <v>80</v>
      </c>
      <c r="F102" s="1">
        <v>175000</v>
      </c>
      <c r="G102" s="1">
        <f>Table1[[#This Row],[Volume]]*Table1[[#This Row],[Harga satuan pembelian]]</f>
        <v>14000000</v>
      </c>
      <c r="H102" s="1">
        <v>210000</v>
      </c>
      <c r="I102" s="1">
        <f>Table1[[#This Row],[Harga satuan penjualan]]*Table1[[#This Row],[Volume]]</f>
        <v>16800000</v>
      </c>
      <c r="J102" s="1">
        <f>Table1[[#This Row],[Total Penjualan]]-Table1[[#This Row],[Total pembelian]]</f>
        <v>2800000</v>
      </c>
      <c r="L102" s="2"/>
    </row>
    <row r="103" spans="1:12" x14ac:dyDescent="0.2">
      <c r="A103" s="3">
        <v>45759</v>
      </c>
      <c r="B103" s="3" t="s">
        <v>13</v>
      </c>
      <c r="C103" s="3" t="s">
        <v>15</v>
      </c>
      <c r="D103" t="s">
        <v>2</v>
      </c>
      <c r="E103" s="1">
        <v>70</v>
      </c>
      <c r="F103" s="1">
        <v>125000</v>
      </c>
      <c r="G103" s="1">
        <f>Table1[[#This Row],[Volume]]*Table1[[#This Row],[Harga satuan pembelian]]</f>
        <v>8750000</v>
      </c>
      <c r="H103" s="1">
        <v>210000</v>
      </c>
      <c r="I103" s="1">
        <f>Table1[[#This Row],[Harga satuan penjualan]]*Table1[[#This Row],[Volume]]</f>
        <v>14700000</v>
      </c>
      <c r="J103" s="1">
        <f>Table1[[#This Row],[Total Penjualan]]-Table1[[#This Row],[Total pembelian]]</f>
        <v>5950000</v>
      </c>
      <c r="L103" s="2"/>
    </row>
    <row r="104" spans="1:12" x14ac:dyDescent="0.2">
      <c r="A104" s="3">
        <v>45760</v>
      </c>
      <c r="B104" s="3" t="s">
        <v>18</v>
      </c>
      <c r="C104" s="3" t="s">
        <v>15</v>
      </c>
      <c r="D104" t="s">
        <v>0</v>
      </c>
      <c r="E104" s="1">
        <v>60</v>
      </c>
      <c r="F104" s="1">
        <v>165000</v>
      </c>
      <c r="G104" s="1">
        <f>Table1[[#This Row],[Volume]]*Table1[[#This Row],[Harga satuan pembelian]]</f>
        <v>9900000</v>
      </c>
      <c r="H104" s="1">
        <v>225000</v>
      </c>
      <c r="I104" s="1">
        <f>Table1[[#This Row],[Harga satuan penjualan]]*Table1[[#This Row],[Volume]]</f>
        <v>13500000</v>
      </c>
      <c r="J104" s="1">
        <f>Table1[[#This Row],[Total Penjualan]]-Table1[[#This Row],[Total pembelian]]</f>
        <v>3600000</v>
      </c>
      <c r="L104" s="2"/>
    </row>
    <row r="105" spans="1:12" x14ac:dyDescent="0.2">
      <c r="A105" s="3">
        <v>45761</v>
      </c>
      <c r="B105" s="3" t="s">
        <v>18</v>
      </c>
      <c r="C105" s="3" t="s">
        <v>15</v>
      </c>
      <c r="D105" t="s">
        <v>10</v>
      </c>
      <c r="E105" s="1">
        <v>40</v>
      </c>
      <c r="F105" s="1">
        <v>185000</v>
      </c>
      <c r="G105" s="1">
        <f>Table1[[#This Row],[Volume]]*Table1[[#This Row],[Harga satuan pembelian]]</f>
        <v>7400000</v>
      </c>
      <c r="H105" s="1">
        <v>210000</v>
      </c>
      <c r="I105" s="1">
        <f>Table1[[#This Row],[Harga satuan penjualan]]*Table1[[#This Row],[Volume]]</f>
        <v>8400000</v>
      </c>
      <c r="J105" s="1">
        <f>Table1[[#This Row],[Total Penjualan]]-Table1[[#This Row],[Total pembelian]]</f>
        <v>1000000</v>
      </c>
      <c r="L105" s="2"/>
    </row>
    <row r="106" spans="1:12" x14ac:dyDescent="0.2">
      <c r="A106" s="3">
        <v>45762</v>
      </c>
      <c r="B106" s="3" t="s">
        <v>18</v>
      </c>
      <c r="C106" s="3" t="s">
        <v>16</v>
      </c>
      <c r="D106" t="s">
        <v>2</v>
      </c>
      <c r="E106" s="1">
        <v>40</v>
      </c>
      <c r="F106" s="1">
        <v>175000</v>
      </c>
      <c r="G106" s="1">
        <f>Table1[[#This Row],[Volume]]*Table1[[#This Row],[Harga satuan pembelian]]</f>
        <v>7000000</v>
      </c>
      <c r="H106" s="1">
        <v>210000</v>
      </c>
      <c r="I106" s="1">
        <f>Table1[[#This Row],[Harga satuan penjualan]]*Table1[[#This Row],[Volume]]</f>
        <v>8400000</v>
      </c>
      <c r="J106" s="1">
        <f>Table1[[#This Row],[Total Penjualan]]-Table1[[#This Row],[Total pembelian]]</f>
        <v>1400000</v>
      </c>
      <c r="L106" s="2"/>
    </row>
    <row r="107" spans="1:12" x14ac:dyDescent="0.2">
      <c r="A107" s="3">
        <v>45763</v>
      </c>
      <c r="B107" s="3" t="s">
        <v>18</v>
      </c>
      <c r="C107" s="3" t="s">
        <v>16</v>
      </c>
      <c r="D107" t="s">
        <v>0</v>
      </c>
      <c r="E107" s="1">
        <v>80</v>
      </c>
      <c r="F107" s="1">
        <v>165000</v>
      </c>
      <c r="G107" s="1">
        <f>Table1[[#This Row],[Volume]]*Table1[[#This Row],[Harga satuan pembelian]]</f>
        <v>13200000</v>
      </c>
      <c r="H107" s="1">
        <v>225000</v>
      </c>
      <c r="I107" s="1">
        <f>Table1[[#This Row],[Harga satuan penjualan]]*Table1[[#This Row],[Volume]]</f>
        <v>18000000</v>
      </c>
      <c r="J107" s="1">
        <f>Table1[[#This Row],[Total Penjualan]]-Table1[[#This Row],[Total pembelian]]</f>
        <v>4800000</v>
      </c>
      <c r="L107" s="2"/>
    </row>
    <row r="108" spans="1:12" x14ac:dyDescent="0.2">
      <c r="A108" s="3">
        <v>45764</v>
      </c>
      <c r="B108" s="3" t="s">
        <v>18</v>
      </c>
      <c r="C108" s="3" t="s">
        <v>16</v>
      </c>
      <c r="D108" t="s">
        <v>10</v>
      </c>
      <c r="E108" s="1">
        <v>80</v>
      </c>
      <c r="F108" s="1">
        <v>145000</v>
      </c>
      <c r="G108" s="1">
        <f>Table1[[#This Row],[Volume]]*Table1[[#This Row],[Harga satuan pembelian]]</f>
        <v>11600000</v>
      </c>
      <c r="H108" s="1">
        <v>210000</v>
      </c>
      <c r="I108" s="1">
        <f>Table1[[#This Row],[Harga satuan penjualan]]*Table1[[#This Row],[Volume]]</f>
        <v>16800000</v>
      </c>
      <c r="J108" s="1">
        <f>Table1[[#This Row],[Total Penjualan]]-Table1[[#This Row],[Total pembelian]]</f>
        <v>5200000</v>
      </c>
      <c r="L108" s="2"/>
    </row>
    <row r="109" spans="1:12" x14ac:dyDescent="0.2">
      <c r="A109" s="3">
        <v>45765</v>
      </c>
      <c r="B109" s="3" t="s">
        <v>18</v>
      </c>
      <c r="C109" s="3" t="s">
        <v>16</v>
      </c>
      <c r="D109" t="s">
        <v>2</v>
      </c>
      <c r="E109" s="1">
        <v>70</v>
      </c>
      <c r="F109" s="1">
        <v>135000</v>
      </c>
      <c r="G109" s="1">
        <f>Table1[[#This Row],[Volume]]*Table1[[#This Row],[Harga satuan pembelian]]</f>
        <v>9450000</v>
      </c>
      <c r="H109" s="1">
        <v>210000</v>
      </c>
      <c r="I109" s="1">
        <f>Table1[[#This Row],[Harga satuan penjualan]]*Table1[[#This Row],[Volume]]</f>
        <v>14700000</v>
      </c>
      <c r="J109" s="1">
        <f>Table1[[#This Row],[Total Penjualan]]-Table1[[#This Row],[Total pembelian]]</f>
        <v>5250000</v>
      </c>
      <c r="L109" s="2"/>
    </row>
    <row r="110" spans="1:12" x14ac:dyDescent="0.2">
      <c r="A110" s="3">
        <v>45766</v>
      </c>
      <c r="B110" s="3" t="s">
        <v>18</v>
      </c>
      <c r="C110" s="3" t="s">
        <v>17</v>
      </c>
      <c r="D110" t="s">
        <v>0</v>
      </c>
      <c r="E110" s="1">
        <v>60</v>
      </c>
      <c r="F110" s="1">
        <v>145000</v>
      </c>
      <c r="G110" s="1">
        <f>Table1[[#This Row],[Volume]]*Table1[[#This Row],[Harga satuan pembelian]]</f>
        <v>8700000</v>
      </c>
      <c r="H110" s="1">
        <v>225000</v>
      </c>
      <c r="I110" s="1">
        <f>Table1[[#This Row],[Harga satuan penjualan]]*Table1[[#This Row],[Volume]]</f>
        <v>13500000</v>
      </c>
      <c r="J110" s="1">
        <f>Table1[[#This Row],[Total Penjualan]]-Table1[[#This Row],[Total pembelian]]</f>
        <v>4800000</v>
      </c>
      <c r="L110" s="2"/>
    </row>
    <row r="111" spans="1:12" x14ac:dyDescent="0.2">
      <c r="A111" s="3">
        <v>45767</v>
      </c>
      <c r="B111" s="3" t="s">
        <v>12</v>
      </c>
      <c r="C111" s="3" t="s">
        <v>17</v>
      </c>
      <c r="D111" t="s">
        <v>10</v>
      </c>
      <c r="E111" s="1">
        <v>80</v>
      </c>
      <c r="F111" s="1">
        <v>145000</v>
      </c>
      <c r="G111" s="1">
        <f>Table1[[#This Row],[Volume]]*Table1[[#This Row],[Harga satuan pembelian]]</f>
        <v>11600000</v>
      </c>
      <c r="H111" s="1">
        <v>210000</v>
      </c>
      <c r="I111" s="1">
        <f>Table1[[#This Row],[Harga satuan penjualan]]*Table1[[#This Row],[Volume]]</f>
        <v>16800000</v>
      </c>
      <c r="J111" s="1">
        <f>Table1[[#This Row],[Total Penjualan]]-Table1[[#This Row],[Total pembelian]]</f>
        <v>5200000</v>
      </c>
      <c r="L111" s="2"/>
    </row>
    <row r="112" spans="1:12" x14ac:dyDescent="0.2">
      <c r="A112" s="3">
        <v>45768</v>
      </c>
      <c r="B112" s="3" t="s">
        <v>13</v>
      </c>
      <c r="C112" s="3" t="s">
        <v>17</v>
      </c>
      <c r="D112" t="s">
        <v>2</v>
      </c>
      <c r="E112" s="1">
        <v>50</v>
      </c>
      <c r="F112" s="1">
        <v>205000</v>
      </c>
      <c r="G112" s="1">
        <f>Table1[[#This Row],[Volume]]*Table1[[#This Row],[Harga satuan pembelian]]</f>
        <v>10250000</v>
      </c>
      <c r="H112" s="1">
        <v>210000</v>
      </c>
      <c r="I112" s="1">
        <f>Table1[[#This Row],[Harga satuan penjualan]]*Table1[[#This Row],[Volume]]</f>
        <v>10500000</v>
      </c>
      <c r="J112" s="1">
        <f>Table1[[#This Row],[Total Penjualan]]-Table1[[#This Row],[Total pembelian]]</f>
        <v>250000</v>
      </c>
      <c r="L112" s="2"/>
    </row>
    <row r="113" spans="1:12" x14ac:dyDescent="0.2">
      <c r="A113" s="3">
        <v>45769</v>
      </c>
      <c r="B113" s="3" t="s">
        <v>13</v>
      </c>
      <c r="C113" s="3" t="s">
        <v>17</v>
      </c>
      <c r="D113" t="s">
        <v>0</v>
      </c>
      <c r="E113" s="1">
        <v>50</v>
      </c>
      <c r="F113" s="1">
        <v>115000</v>
      </c>
      <c r="G113" s="1">
        <f>Table1[[#This Row],[Volume]]*Table1[[#This Row],[Harga satuan pembelian]]</f>
        <v>5750000</v>
      </c>
      <c r="H113" s="1">
        <v>225000</v>
      </c>
      <c r="I113" s="1">
        <f>Table1[[#This Row],[Harga satuan penjualan]]*Table1[[#This Row],[Volume]]</f>
        <v>11250000</v>
      </c>
      <c r="J113" s="1">
        <f>Table1[[#This Row],[Total Penjualan]]-Table1[[#This Row],[Total pembelian]]</f>
        <v>5500000</v>
      </c>
      <c r="L113" s="2"/>
    </row>
    <row r="114" spans="1:12" x14ac:dyDescent="0.2">
      <c r="A114" s="3">
        <v>45770</v>
      </c>
      <c r="B114" s="3" t="s">
        <v>18</v>
      </c>
      <c r="C114" s="3" t="s">
        <v>15</v>
      </c>
      <c r="D114" t="s">
        <v>10</v>
      </c>
      <c r="E114" s="1">
        <v>50</v>
      </c>
      <c r="F114" s="1">
        <v>215000</v>
      </c>
      <c r="G114" s="1">
        <f>Table1[[#This Row],[Volume]]*Table1[[#This Row],[Harga satuan pembelian]]</f>
        <v>10750000</v>
      </c>
      <c r="H114" s="1">
        <v>210000</v>
      </c>
      <c r="I114" s="1">
        <f>Table1[[#This Row],[Harga satuan penjualan]]*Table1[[#This Row],[Volume]]</f>
        <v>10500000</v>
      </c>
      <c r="J114" s="1">
        <f>Table1[[#This Row],[Total Penjualan]]-Table1[[#This Row],[Total pembelian]]</f>
        <v>-250000</v>
      </c>
      <c r="L114" s="2"/>
    </row>
    <row r="115" spans="1:12" x14ac:dyDescent="0.2">
      <c r="A115" s="3">
        <v>45771</v>
      </c>
      <c r="B115" s="3" t="s">
        <v>18</v>
      </c>
      <c r="C115" s="3" t="s">
        <v>15</v>
      </c>
      <c r="D115" t="s">
        <v>2</v>
      </c>
      <c r="E115" s="1">
        <v>90</v>
      </c>
      <c r="F115" s="1">
        <v>115000</v>
      </c>
      <c r="G115" s="1">
        <f>Table1[[#This Row],[Volume]]*Table1[[#This Row],[Harga satuan pembelian]]</f>
        <v>10350000</v>
      </c>
      <c r="H115" s="1">
        <v>210000</v>
      </c>
      <c r="I115" s="1">
        <f>Table1[[#This Row],[Harga satuan penjualan]]*Table1[[#This Row],[Volume]]</f>
        <v>18900000</v>
      </c>
      <c r="J115" s="1">
        <f>Table1[[#This Row],[Total Penjualan]]-Table1[[#This Row],[Total pembelian]]</f>
        <v>8550000</v>
      </c>
      <c r="L115" s="2"/>
    </row>
    <row r="116" spans="1:12" x14ac:dyDescent="0.2">
      <c r="A116" s="3">
        <v>45772</v>
      </c>
      <c r="B116" s="3" t="s">
        <v>18</v>
      </c>
      <c r="C116" s="3" t="s">
        <v>15</v>
      </c>
      <c r="D116" t="s">
        <v>0</v>
      </c>
      <c r="E116" s="1">
        <v>80</v>
      </c>
      <c r="F116" s="1">
        <v>165000</v>
      </c>
      <c r="G116" s="1">
        <f>Table1[[#This Row],[Volume]]*Table1[[#This Row],[Harga satuan pembelian]]</f>
        <v>13200000</v>
      </c>
      <c r="H116" s="1">
        <v>225000</v>
      </c>
      <c r="I116" s="1">
        <f>Table1[[#This Row],[Harga satuan penjualan]]*Table1[[#This Row],[Volume]]</f>
        <v>18000000</v>
      </c>
      <c r="J116" s="1">
        <f>Table1[[#This Row],[Total Penjualan]]-Table1[[#This Row],[Total pembelian]]</f>
        <v>4800000</v>
      </c>
      <c r="L116" s="2"/>
    </row>
    <row r="117" spans="1:12" x14ac:dyDescent="0.2">
      <c r="A117" s="3">
        <v>45773</v>
      </c>
      <c r="B117" s="3" t="s">
        <v>18</v>
      </c>
      <c r="C117" s="3" t="s">
        <v>15</v>
      </c>
      <c r="D117" t="s">
        <v>10</v>
      </c>
      <c r="E117" s="1">
        <v>90</v>
      </c>
      <c r="F117" s="1">
        <v>145000</v>
      </c>
      <c r="G117" s="1">
        <f>Table1[[#This Row],[Volume]]*Table1[[#This Row],[Harga satuan pembelian]]</f>
        <v>13050000</v>
      </c>
      <c r="H117" s="1">
        <v>210000</v>
      </c>
      <c r="I117" s="1">
        <f>Table1[[#This Row],[Harga satuan penjualan]]*Table1[[#This Row],[Volume]]</f>
        <v>18900000</v>
      </c>
      <c r="J117" s="1">
        <f>Table1[[#This Row],[Total Penjualan]]-Table1[[#This Row],[Total pembelian]]</f>
        <v>5850000</v>
      </c>
      <c r="L117" s="2"/>
    </row>
    <row r="118" spans="1:12" x14ac:dyDescent="0.2">
      <c r="A118" s="3">
        <v>45774</v>
      </c>
      <c r="B118" s="3" t="s">
        <v>18</v>
      </c>
      <c r="C118" s="3" t="s">
        <v>15</v>
      </c>
      <c r="D118" t="s">
        <v>2</v>
      </c>
      <c r="E118" s="1">
        <v>40</v>
      </c>
      <c r="F118" s="1">
        <v>125000</v>
      </c>
      <c r="G118" s="1">
        <f>Table1[[#This Row],[Volume]]*Table1[[#This Row],[Harga satuan pembelian]]</f>
        <v>5000000</v>
      </c>
      <c r="H118" s="1">
        <v>210000</v>
      </c>
      <c r="I118" s="1">
        <f>Table1[[#This Row],[Harga satuan penjualan]]*Table1[[#This Row],[Volume]]</f>
        <v>8400000</v>
      </c>
      <c r="J118" s="1">
        <f>Table1[[#This Row],[Total Penjualan]]-Table1[[#This Row],[Total pembelian]]</f>
        <v>3400000</v>
      </c>
      <c r="L118" s="2"/>
    </row>
    <row r="119" spans="1:12" x14ac:dyDescent="0.2">
      <c r="A119" s="3">
        <v>45775</v>
      </c>
      <c r="B119" s="3" t="s">
        <v>18</v>
      </c>
      <c r="C119" s="3" t="s">
        <v>15</v>
      </c>
      <c r="D119" t="s">
        <v>0</v>
      </c>
      <c r="E119" s="1">
        <v>90</v>
      </c>
      <c r="F119" s="1">
        <v>155000</v>
      </c>
      <c r="G119" s="1">
        <f>Table1[[#This Row],[Volume]]*Table1[[#This Row],[Harga satuan pembelian]]</f>
        <v>13950000</v>
      </c>
      <c r="H119" s="1">
        <v>225000</v>
      </c>
      <c r="I119" s="1">
        <f>Table1[[#This Row],[Harga satuan penjualan]]*Table1[[#This Row],[Volume]]</f>
        <v>20250000</v>
      </c>
      <c r="J119" s="1">
        <f>Table1[[#This Row],[Total Penjualan]]-Table1[[#This Row],[Total pembelian]]</f>
        <v>6300000</v>
      </c>
      <c r="L119" s="2"/>
    </row>
    <row r="120" spans="1:12" x14ac:dyDescent="0.2">
      <c r="A120" s="3">
        <v>45776</v>
      </c>
      <c r="B120" s="3" t="s">
        <v>18</v>
      </c>
      <c r="C120" s="3" t="s">
        <v>15</v>
      </c>
      <c r="D120" t="s">
        <v>10</v>
      </c>
      <c r="E120" s="1">
        <v>60</v>
      </c>
      <c r="F120" s="1">
        <v>175000</v>
      </c>
      <c r="G120" s="1">
        <f>Table1[[#This Row],[Volume]]*Table1[[#This Row],[Harga satuan pembelian]]</f>
        <v>10500000</v>
      </c>
      <c r="H120" s="1">
        <v>210000</v>
      </c>
      <c r="I120" s="1">
        <f>Table1[[#This Row],[Harga satuan penjualan]]*Table1[[#This Row],[Volume]]</f>
        <v>12600000</v>
      </c>
      <c r="J120" s="1">
        <f>Table1[[#This Row],[Total Penjualan]]-Table1[[#This Row],[Total pembelian]]</f>
        <v>2100000</v>
      </c>
      <c r="L120" s="2"/>
    </row>
    <row r="121" spans="1:12" x14ac:dyDescent="0.2">
      <c r="A121" s="3">
        <v>45777</v>
      </c>
      <c r="B121" s="3" t="s">
        <v>12</v>
      </c>
      <c r="C121" s="3" t="s">
        <v>15</v>
      </c>
      <c r="D121" t="s">
        <v>2</v>
      </c>
      <c r="E121" s="1">
        <v>70</v>
      </c>
      <c r="F121" s="1">
        <v>205000</v>
      </c>
      <c r="G121" s="1">
        <f>Table1[[#This Row],[Volume]]*Table1[[#This Row],[Harga satuan pembelian]]</f>
        <v>14350000</v>
      </c>
      <c r="H121" s="1">
        <v>210000</v>
      </c>
      <c r="I121" s="1">
        <f>Table1[[#This Row],[Harga satuan penjualan]]*Table1[[#This Row],[Volume]]</f>
        <v>14700000</v>
      </c>
      <c r="J121" s="1">
        <f>Table1[[#This Row],[Total Penjualan]]-Table1[[#This Row],[Total pembelian]]</f>
        <v>350000</v>
      </c>
      <c r="L121" s="2"/>
    </row>
    <row r="122" spans="1:12" x14ac:dyDescent="0.2">
      <c r="A122" s="3">
        <v>45778</v>
      </c>
      <c r="B122" s="3" t="s">
        <v>13</v>
      </c>
      <c r="C122" s="3" t="s">
        <v>15</v>
      </c>
      <c r="D122" t="s">
        <v>0</v>
      </c>
      <c r="E122" s="1">
        <v>60</v>
      </c>
      <c r="F122" s="1">
        <v>165000</v>
      </c>
      <c r="G122" s="1">
        <f>Table1[[#This Row],[Volume]]*Table1[[#This Row],[Harga satuan pembelian]]</f>
        <v>9900000</v>
      </c>
      <c r="H122" s="1">
        <v>225000</v>
      </c>
      <c r="I122" s="1">
        <f>Table1[[#This Row],[Harga satuan penjualan]]*Table1[[#This Row],[Volume]]</f>
        <v>13500000</v>
      </c>
      <c r="J122" s="1">
        <f>Table1[[#This Row],[Total Penjualan]]-Table1[[#This Row],[Total pembelian]]</f>
        <v>3600000</v>
      </c>
      <c r="L122" s="2"/>
    </row>
    <row r="123" spans="1:12" x14ac:dyDescent="0.2">
      <c r="A123" s="3">
        <v>45779</v>
      </c>
      <c r="B123" s="3" t="s">
        <v>13</v>
      </c>
      <c r="C123" s="3" t="s">
        <v>15</v>
      </c>
      <c r="D123" t="s">
        <v>10</v>
      </c>
      <c r="E123" s="1">
        <v>70</v>
      </c>
      <c r="F123" s="1">
        <v>145000</v>
      </c>
      <c r="G123" s="1">
        <f>Table1[[#This Row],[Volume]]*Table1[[#This Row],[Harga satuan pembelian]]</f>
        <v>10150000</v>
      </c>
      <c r="H123" s="1">
        <v>210000</v>
      </c>
      <c r="I123" s="1">
        <f>Table1[[#This Row],[Harga satuan penjualan]]*Table1[[#This Row],[Volume]]</f>
        <v>14700000</v>
      </c>
      <c r="J123" s="1">
        <f>Table1[[#This Row],[Total Penjualan]]-Table1[[#This Row],[Total pembelian]]</f>
        <v>4550000</v>
      </c>
      <c r="L123" s="2"/>
    </row>
    <row r="124" spans="1:12" x14ac:dyDescent="0.2">
      <c r="A124" s="3">
        <v>45780</v>
      </c>
      <c r="B124" s="3" t="s">
        <v>18</v>
      </c>
      <c r="C124" s="3" t="s">
        <v>15</v>
      </c>
      <c r="D124" t="s">
        <v>2</v>
      </c>
      <c r="E124" s="1">
        <v>40</v>
      </c>
      <c r="F124" s="1">
        <v>175000</v>
      </c>
      <c r="G124" s="1">
        <f>Table1[[#This Row],[Volume]]*Table1[[#This Row],[Harga satuan pembelian]]</f>
        <v>7000000</v>
      </c>
      <c r="H124" s="1">
        <v>210000</v>
      </c>
      <c r="I124" s="1">
        <f>Table1[[#This Row],[Harga satuan penjualan]]*Table1[[#This Row],[Volume]]</f>
        <v>8400000</v>
      </c>
      <c r="J124" s="1">
        <f>Table1[[#This Row],[Total Penjualan]]-Table1[[#This Row],[Total pembelian]]</f>
        <v>1400000</v>
      </c>
      <c r="L124" s="2"/>
    </row>
    <row r="125" spans="1:12" x14ac:dyDescent="0.2">
      <c r="A125" s="3">
        <v>45781</v>
      </c>
      <c r="B125" s="3" t="s">
        <v>18</v>
      </c>
      <c r="C125" s="3" t="s">
        <v>15</v>
      </c>
      <c r="D125" t="s">
        <v>0</v>
      </c>
      <c r="E125" s="1">
        <v>90</v>
      </c>
      <c r="F125" s="1">
        <v>145000</v>
      </c>
      <c r="G125" s="1">
        <f>Table1[[#This Row],[Volume]]*Table1[[#This Row],[Harga satuan pembelian]]</f>
        <v>13050000</v>
      </c>
      <c r="H125" s="1">
        <v>225000</v>
      </c>
      <c r="I125" s="1">
        <f>Table1[[#This Row],[Harga satuan penjualan]]*Table1[[#This Row],[Volume]]</f>
        <v>20250000</v>
      </c>
      <c r="J125" s="1">
        <f>Table1[[#This Row],[Total Penjualan]]-Table1[[#This Row],[Total pembelian]]</f>
        <v>7200000</v>
      </c>
      <c r="L125" s="2"/>
    </row>
    <row r="126" spans="1:12" x14ac:dyDescent="0.2">
      <c r="A126" s="3">
        <v>45782</v>
      </c>
      <c r="B126" s="3" t="s">
        <v>18</v>
      </c>
      <c r="C126" s="3" t="s">
        <v>16</v>
      </c>
      <c r="D126" t="s">
        <v>10</v>
      </c>
      <c r="E126" s="1">
        <v>40</v>
      </c>
      <c r="F126" s="1">
        <v>165000</v>
      </c>
      <c r="G126" s="1">
        <f>Table1[[#This Row],[Volume]]*Table1[[#This Row],[Harga satuan pembelian]]</f>
        <v>6600000</v>
      </c>
      <c r="H126" s="1">
        <v>210000</v>
      </c>
      <c r="I126" s="1">
        <f>Table1[[#This Row],[Harga satuan penjualan]]*Table1[[#This Row],[Volume]]</f>
        <v>8400000</v>
      </c>
      <c r="J126" s="1">
        <f>Table1[[#This Row],[Total Penjualan]]-Table1[[#This Row],[Total pembelian]]</f>
        <v>1800000</v>
      </c>
      <c r="L126" s="2"/>
    </row>
    <row r="127" spans="1:12" x14ac:dyDescent="0.2">
      <c r="A127" s="3">
        <v>45783</v>
      </c>
      <c r="B127" s="3" t="s">
        <v>18</v>
      </c>
      <c r="C127" s="3" t="s">
        <v>16</v>
      </c>
      <c r="D127" t="s">
        <v>2</v>
      </c>
      <c r="E127" s="1">
        <v>70</v>
      </c>
      <c r="F127" s="1">
        <v>155000</v>
      </c>
      <c r="G127" s="1">
        <f>Table1[[#This Row],[Volume]]*Table1[[#This Row],[Harga satuan pembelian]]</f>
        <v>10850000</v>
      </c>
      <c r="H127" s="1">
        <v>210000</v>
      </c>
      <c r="I127" s="1">
        <f>Table1[[#This Row],[Harga satuan penjualan]]*Table1[[#This Row],[Volume]]</f>
        <v>14700000</v>
      </c>
      <c r="J127" s="1">
        <f>Table1[[#This Row],[Total Penjualan]]-Table1[[#This Row],[Total pembelian]]</f>
        <v>3850000</v>
      </c>
      <c r="L127" s="2"/>
    </row>
    <row r="128" spans="1:12" x14ac:dyDescent="0.2">
      <c r="A128" s="3">
        <v>45784</v>
      </c>
      <c r="B128" s="3" t="s">
        <v>18</v>
      </c>
      <c r="C128" s="3" t="s">
        <v>16</v>
      </c>
      <c r="D128" t="s">
        <v>0</v>
      </c>
      <c r="E128" s="1">
        <v>80</v>
      </c>
      <c r="F128" s="1">
        <v>185000</v>
      </c>
      <c r="G128" s="1">
        <f>Table1[[#This Row],[Volume]]*Table1[[#This Row],[Harga satuan pembelian]]</f>
        <v>14800000</v>
      </c>
      <c r="H128" s="1">
        <v>225000</v>
      </c>
      <c r="I128" s="1">
        <f>Table1[[#This Row],[Harga satuan penjualan]]*Table1[[#This Row],[Volume]]</f>
        <v>18000000</v>
      </c>
      <c r="J128" s="1">
        <f>Table1[[#This Row],[Total Penjualan]]-Table1[[#This Row],[Total pembelian]]</f>
        <v>3200000</v>
      </c>
      <c r="L128" s="2"/>
    </row>
    <row r="129" spans="1:12" x14ac:dyDescent="0.2">
      <c r="A129" s="3">
        <v>45785</v>
      </c>
      <c r="B129" s="3" t="s">
        <v>18</v>
      </c>
      <c r="C129" s="3" t="s">
        <v>16</v>
      </c>
      <c r="D129" t="s">
        <v>10</v>
      </c>
      <c r="E129" s="1">
        <v>70</v>
      </c>
      <c r="F129" s="1">
        <v>145000</v>
      </c>
      <c r="G129" s="1">
        <f>Table1[[#This Row],[Volume]]*Table1[[#This Row],[Harga satuan pembelian]]</f>
        <v>10150000</v>
      </c>
      <c r="H129" s="1">
        <v>210000</v>
      </c>
      <c r="I129" s="1">
        <f>Table1[[#This Row],[Harga satuan penjualan]]*Table1[[#This Row],[Volume]]</f>
        <v>14700000</v>
      </c>
      <c r="J129" s="1">
        <f>Table1[[#This Row],[Total Penjualan]]-Table1[[#This Row],[Total pembelian]]</f>
        <v>4550000</v>
      </c>
      <c r="L129" s="2"/>
    </row>
    <row r="130" spans="1:12" x14ac:dyDescent="0.2">
      <c r="A130" s="3">
        <v>45786</v>
      </c>
      <c r="B130" s="3" t="s">
        <v>18</v>
      </c>
      <c r="C130" s="3" t="s">
        <v>17</v>
      </c>
      <c r="D130" t="s">
        <v>2</v>
      </c>
      <c r="E130" s="1">
        <v>80</v>
      </c>
      <c r="F130" s="1">
        <v>115000</v>
      </c>
      <c r="G130" s="1">
        <f>Table1[[#This Row],[Volume]]*Table1[[#This Row],[Harga satuan pembelian]]</f>
        <v>9200000</v>
      </c>
      <c r="H130" s="1">
        <v>210000</v>
      </c>
      <c r="I130" s="1">
        <f>Table1[[#This Row],[Harga satuan penjualan]]*Table1[[#This Row],[Volume]]</f>
        <v>16800000</v>
      </c>
      <c r="J130" s="1">
        <f>Table1[[#This Row],[Total Penjualan]]-Table1[[#This Row],[Total pembelian]]</f>
        <v>7600000</v>
      </c>
      <c r="L130" s="2"/>
    </row>
    <row r="131" spans="1:12" x14ac:dyDescent="0.2">
      <c r="A131" s="3">
        <v>45787</v>
      </c>
      <c r="B131" s="3" t="s">
        <v>12</v>
      </c>
      <c r="C131" s="3" t="s">
        <v>17</v>
      </c>
      <c r="D131" t="s">
        <v>0</v>
      </c>
      <c r="E131" s="1">
        <v>70</v>
      </c>
      <c r="F131" s="1">
        <v>195000</v>
      </c>
      <c r="G131" s="1">
        <f>Table1[[#This Row],[Volume]]*Table1[[#This Row],[Harga satuan pembelian]]</f>
        <v>13650000</v>
      </c>
      <c r="H131" s="1">
        <v>225000</v>
      </c>
      <c r="I131" s="1">
        <f>Table1[[#This Row],[Harga satuan penjualan]]*Table1[[#This Row],[Volume]]</f>
        <v>15750000</v>
      </c>
      <c r="J131" s="1">
        <f>Table1[[#This Row],[Total Penjualan]]-Table1[[#This Row],[Total pembelian]]</f>
        <v>2100000</v>
      </c>
      <c r="L131" s="2"/>
    </row>
    <row r="132" spans="1:12" x14ac:dyDescent="0.2">
      <c r="A132" s="3">
        <v>45788</v>
      </c>
      <c r="B132" s="3" t="s">
        <v>13</v>
      </c>
      <c r="C132" s="3" t="s">
        <v>17</v>
      </c>
      <c r="D132" t="s">
        <v>10</v>
      </c>
      <c r="E132" s="1">
        <v>50</v>
      </c>
      <c r="F132" s="1">
        <v>175000</v>
      </c>
      <c r="G132" s="1">
        <f>Table1[[#This Row],[Volume]]*Table1[[#This Row],[Harga satuan pembelian]]</f>
        <v>8750000</v>
      </c>
      <c r="H132" s="1">
        <v>210000</v>
      </c>
      <c r="I132" s="1">
        <f>Table1[[#This Row],[Harga satuan penjualan]]*Table1[[#This Row],[Volume]]</f>
        <v>10500000</v>
      </c>
      <c r="J132" s="1">
        <f>Table1[[#This Row],[Total Penjualan]]-Table1[[#This Row],[Total pembelian]]</f>
        <v>1750000</v>
      </c>
      <c r="L132" s="2"/>
    </row>
    <row r="133" spans="1:12" x14ac:dyDescent="0.2">
      <c r="A133" s="3">
        <v>45789</v>
      </c>
      <c r="B133" s="3" t="s">
        <v>13</v>
      </c>
      <c r="C133" s="3" t="s">
        <v>17</v>
      </c>
      <c r="D133" t="s">
        <v>2</v>
      </c>
      <c r="E133" s="1">
        <v>50</v>
      </c>
      <c r="F133" s="1">
        <v>195000</v>
      </c>
      <c r="G133" s="1">
        <f>Table1[[#This Row],[Volume]]*Table1[[#This Row],[Harga satuan pembelian]]</f>
        <v>9750000</v>
      </c>
      <c r="H133" s="1">
        <v>210000</v>
      </c>
      <c r="I133" s="1">
        <f>Table1[[#This Row],[Harga satuan penjualan]]*Table1[[#This Row],[Volume]]</f>
        <v>10500000</v>
      </c>
      <c r="J133" s="1">
        <f>Table1[[#This Row],[Total Penjualan]]-Table1[[#This Row],[Total pembelian]]</f>
        <v>750000</v>
      </c>
      <c r="L133" s="2"/>
    </row>
    <row r="134" spans="1:12" x14ac:dyDescent="0.2">
      <c r="A134" s="3">
        <v>45790</v>
      </c>
      <c r="B134" s="3" t="s">
        <v>18</v>
      </c>
      <c r="C134" s="3" t="s">
        <v>15</v>
      </c>
      <c r="D134" t="s">
        <v>0</v>
      </c>
      <c r="E134" s="1">
        <v>70</v>
      </c>
      <c r="F134" s="1">
        <v>215000</v>
      </c>
      <c r="G134" s="1">
        <f>Table1[[#This Row],[Volume]]*Table1[[#This Row],[Harga satuan pembelian]]</f>
        <v>15050000</v>
      </c>
      <c r="H134" s="1">
        <v>225000</v>
      </c>
      <c r="I134" s="1">
        <f>Table1[[#This Row],[Harga satuan penjualan]]*Table1[[#This Row],[Volume]]</f>
        <v>15750000</v>
      </c>
      <c r="J134" s="1">
        <f>Table1[[#This Row],[Total Penjualan]]-Table1[[#This Row],[Total pembelian]]</f>
        <v>700000</v>
      </c>
      <c r="L134" s="2"/>
    </row>
    <row r="135" spans="1:12" x14ac:dyDescent="0.2">
      <c r="A135" s="3">
        <v>45791</v>
      </c>
      <c r="B135" s="3" t="s">
        <v>18</v>
      </c>
      <c r="C135" s="3" t="s">
        <v>15</v>
      </c>
      <c r="D135" t="s">
        <v>10</v>
      </c>
      <c r="E135" s="1">
        <v>80</v>
      </c>
      <c r="F135" s="1">
        <v>215000</v>
      </c>
      <c r="G135" s="1">
        <f>Table1[[#This Row],[Volume]]*Table1[[#This Row],[Harga satuan pembelian]]</f>
        <v>17200000</v>
      </c>
      <c r="H135" s="1">
        <v>210000</v>
      </c>
      <c r="I135" s="1">
        <f>Table1[[#This Row],[Harga satuan penjualan]]*Table1[[#This Row],[Volume]]</f>
        <v>16800000</v>
      </c>
      <c r="J135" s="1">
        <f>Table1[[#This Row],[Total Penjualan]]-Table1[[#This Row],[Total pembelian]]</f>
        <v>-400000</v>
      </c>
      <c r="L135" s="2"/>
    </row>
    <row r="136" spans="1:12" x14ac:dyDescent="0.2">
      <c r="A136" s="3">
        <v>45792</v>
      </c>
      <c r="B136" s="3" t="s">
        <v>18</v>
      </c>
      <c r="C136" s="3" t="s">
        <v>15</v>
      </c>
      <c r="D136" t="s">
        <v>2</v>
      </c>
      <c r="E136" s="1">
        <v>90</v>
      </c>
      <c r="F136" s="1">
        <v>145000</v>
      </c>
      <c r="G136" s="1">
        <f>Table1[[#This Row],[Volume]]*Table1[[#This Row],[Harga satuan pembelian]]</f>
        <v>13050000</v>
      </c>
      <c r="H136" s="1">
        <v>210000</v>
      </c>
      <c r="I136" s="1">
        <f>Table1[[#This Row],[Harga satuan penjualan]]*Table1[[#This Row],[Volume]]</f>
        <v>18900000</v>
      </c>
      <c r="J136" s="1">
        <f>Table1[[#This Row],[Total Penjualan]]-Table1[[#This Row],[Total pembelian]]</f>
        <v>5850000</v>
      </c>
      <c r="L136" s="2"/>
    </row>
    <row r="137" spans="1:12" x14ac:dyDescent="0.2">
      <c r="A137" s="3">
        <v>45793</v>
      </c>
      <c r="B137" s="3" t="s">
        <v>18</v>
      </c>
      <c r="C137" s="3" t="s">
        <v>15</v>
      </c>
      <c r="D137" t="s">
        <v>0</v>
      </c>
      <c r="E137" s="1">
        <v>50</v>
      </c>
      <c r="F137" s="1">
        <v>175000</v>
      </c>
      <c r="G137" s="1">
        <f>Table1[[#This Row],[Volume]]*Table1[[#This Row],[Harga satuan pembelian]]</f>
        <v>8750000</v>
      </c>
      <c r="H137" s="1">
        <v>225000</v>
      </c>
      <c r="I137" s="1">
        <f>Table1[[#This Row],[Harga satuan penjualan]]*Table1[[#This Row],[Volume]]</f>
        <v>11250000</v>
      </c>
      <c r="J137" s="1">
        <f>Table1[[#This Row],[Total Penjualan]]-Table1[[#This Row],[Total pembelian]]</f>
        <v>2500000</v>
      </c>
      <c r="L137" s="2"/>
    </row>
    <row r="138" spans="1:12" x14ac:dyDescent="0.2">
      <c r="A138" s="3">
        <v>45794</v>
      </c>
      <c r="B138" s="3" t="s">
        <v>18</v>
      </c>
      <c r="C138" s="3" t="s">
        <v>15</v>
      </c>
      <c r="D138" t="s">
        <v>10</v>
      </c>
      <c r="E138" s="1">
        <v>80</v>
      </c>
      <c r="F138" s="1">
        <v>95000</v>
      </c>
      <c r="G138" s="1">
        <f>Table1[[#This Row],[Volume]]*Table1[[#This Row],[Harga satuan pembelian]]</f>
        <v>7600000</v>
      </c>
      <c r="H138" s="1">
        <v>210000</v>
      </c>
      <c r="I138" s="1">
        <f>Table1[[#This Row],[Harga satuan penjualan]]*Table1[[#This Row],[Volume]]</f>
        <v>16800000</v>
      </c>
      <c r="J138" s="1">
        <f>Table1[[#This Row],[Total Penjualan]]-Table1[[#This Row],[Total pembelian]]</f>
        <v>9200000</v>
      </c>
      <c r="L138" s="2"/>
    </row>
    <row r="139" spans="1:12" x14ac:dyDescent="0.2">
      <c r="A139" s="3">
        <v>45795</v>
      </c>
      <c r="B139" s="3" t="s">
        <v>18</v>
      </c>
      <c r="C139" s="3" t="s">
        <v>15</v>
      </c>
      <c r="D139" t="s">
        <v>2</v>
      </c>
      <c r="E139" s="1">
        <v>70</v>
      </c>
      <c r="F139" s="1">
        <v>115000</v>
      </c>
      <c r="G139" s="1">
        <f>Table1[[#This Row],[Volume]]*Table1[[#This Row],[Harga satuan pembelian]]</f>
        <v>8050000</v>
      </c>
      <c r="H139" s="1">
        <v>210000</v>
      </c>
      <c r="I139" s="1">
        <f>Table1[[#This Row],[Harga satuan penjualan]]*Table1[[#This Row],[Volume]]</f>
        <v>14700000</v>
      </c>
      <c r="J139" s="1">
        <f>Table1[[#This Row],[Total Penjualan]]-Table1[[#This Row],[Total pembelian]]</f>
        <v>6650000</v>
      </c>
      <c r="L139" s="2"/>
    </row>
    <row r="140" spans="1:12" x14ac:dyDescent="0.2">
      <c r="A140" s="3">
        <v>45796</v>
      </c>
      <c r="B140" s="3" t="s">
        <v>18</v>
      </c>
      <c r="C140" s="3" t="s">
        <v>15</v>
      </c>
      <c r="D140" t="s">
        <v>0</v>
      </c>
      <c r="E140" s="1">
        <v>50</v>
      </c>
      <c r="F140" s="1">
        <v>95000</v>
      </c>
      <c r="G140" s="1">
        <f>Table1[[#This Row],[Volume]]*Table1[[#This Row],[Harga satuan pembelian]]</f>
        <v>4750000</v>
      </c>
      <c r="H140" s="1">
        <v>225000</v>
      </c>
      <c r="I140" s="1">
        <f>Table1[[#This Row],[Harga satuan penjualan]]*Table1[[#This Row],[Volume]]</f>
        <v>11250000</v>
      </c>
      <c r="J140" s="1">
        <f>Table1[[#This Row],[Total Penjualan]]-Table1[[#This Row],[Total pembelian]]</f>
        <v>6500000</v>
      </c>
      <c r="L140" s="2"/>
    </row>
    <row r="141" spans="1:12" x14ac:dyDescent="0.2">
      <c r="A141" s="3">
        <v>45797</v>
      </c>
      <c r="B141" s="3" t="s">
        <v>12</v>
      </c>
      <c r="C141" s="3" t="s">
        <v>15</v>
      </c>
      <c r="D141" t="s">
        <v>10</v>
      </c>
      <c r="E141" s="1">
        <v>50</v>
      </c>
      <c r="F141" s="1">
        <v>115000</v>
      </c>
      <c r="G141" s="1">
        <f>Table1[[#This Row],[Volume]]*Table1[[#This Row],[Harga satuan pembelian]]</f>
        <v>5750000</v>
      </c>
      <c r="H141" s="1">
        <v>210000</v>
      </c>
      <c r="I141" s="1">
        <f>Table1[[#This Row],[Harga satuan penjualan]]*Table1[[#This Row],[Volume]]</f>
        <v>10500000</v>
      </c>
      <c r="J141" s="1">
        <f>Table1[[#This Row],[Total Penjualan]]-Table1[[#This Row],[Total pembelian]]</f>
        <v>4750000</v>
      </c>
      <c r="L141" s="2"/>
    </row>
    <row r="142" spans="1:12" x14ac:dyDescent="0.2">
      <c r="A142" s="3">
        <v>45798</v>
      </c>
      <c r="B142" s="3" t="s">
        <v>13</v>
      </c>
      <c r="C142" s="3" t="s">
        <v>15</v>
      </c>
      <c r="D142" t="s">
        <v>2</v>
      </c>
      <c r="E142" s="1">
        <v>60</v>
      </c>
      <c r="F142" s="1">
        <v>195000</v>
      </c>
      <c r="G142" s="1">
        <f>Table1[[#This Row],[Volume]]*Table1[[#This Row],[Harga satuan pembelian]]</f>
        <v>11700000</v>
      </c>
      <c r="H142" s="1">
        <v>210000</v>
      </c>
      <c r="I142" s="1">
        <f>Table1[[#This Row],[Harga satuan penjualan]]*Table1[[#This Row],[Volume]]</f>
        <v>12600000</v>
      </c>
      <c r="J142" s="1">
        <f>Table1[[#This Row],[Total Penjualan]]-Table1[[#This Row],[Total pembelian]]</f>
        <v>900000</v>
      </c>
      <c r="L142" s="2"/>
    </row>
    <row r="143" spans="1:12" x14ac:dyDescent="0.2">
      <c r="A143" s="3">
        <v>45799</v>
      </c>
      <c r="B143" s="3" t="s">
        <v>13</v>
      </c>
      <c r="C143" s="3" t="s">
        <v>15</v>
      </c>
      <c r="D143" t="s">
        <v>0</v>
      </c>
      <c r="E143" s="1">
        <v>60</v>
      </c>
      <c r="F143" s="1">
        <v>165000</v>
      </c>
      <c r="G143" s="1">
        <f>Table1[[#This Row],[Volume]]*Table1[[#This Row],[Harga satuan pembelian]]</f>
        <v>9900000</v>
      </c>
      <c r="H143" s="1">
        <v>225000</v>
      </c>
      <c r="I143" s="1">
        <f>Table1[[#This Row],[Harga satuan penjualan]]*Table1[[#This Row],[Volume]]</f>
        <v>13500000</v>
      </c>
      <c r="J143" s="1">
        <f>Table1[[#This Row],[Total Penjualan]]-Table1[[#This Row],[Total pembelian]]</f>
        <v>3600000</v>
      </c>
      <c r="L143" s="2"/>
    </row>
    <row r="144" spans="1:12" x14ac:dyDescent="0.2">
      <c r="A144" s="3">
        <v>45800</v>
      </c>
      <c r="B144" s="3" t="s">
        <v>18</v>
      </c>
      <c r="C144" s="3" t="s">
        <v>15</v>
      </c>
      <c r="D144" t="s">
        <v>10</v>
      </c>
      <c r="E144" s="1">
        <v>70</v>
      </c>
      <c r="F144" s="1">
        <v>125000</v>
      </c>
      <c r="G144" s="1">
        <f>Table1[[#This Row],[Volume]]*Table1[[#This Row],[Harga satuan pembelian]]</f>
        <v>8750000</v>
      </c>
      <c r="H144" s="1">
        <v>210000</v>
      </c>
      <c r="I144" s="1">
        <f>Table1[[#This Row],[Harga satuan penjualan]]*Table1[[#This Row],[Volume]]</f>
        <v>14700000</v>
      </c>
      <c r="J144" s="1">
        <f>Table1[[#This Row],[Total Penjualan]]-Table1[[#This Row],[Total pembelian]]</f>
        <v>5950000</v>
      </c>
      <c r="L144" s="2"/>
    </row>
    <row r="145" spans="1:12" x14ac:dyDescent="0.2">
      <c r="A145" s="3">
        <v>45801</v>
      </c>
      <c r="B145" s="3" t="s">
        <v>18</v>
      </c>
      <c r="C145" s="3" t="s">
        <v>15</v>
      </c>
      <c r="D145" t="s">
        <v>2</v>
      </c>
      <c r="E145" s="1">
        <v>40</v>
      </c>
      <c r="F145" s="1">
        <v>205000</v>
      </c>
      <c r="G145" s="1">
        <f>Table1[[#This Row],[Volume]]*Table1[[#This Row],[Harga satuan pembelian]]</f>
        <v>8200000</v>
      </c>
      <c r="H145" s="1">
        <v>210000</v>
      </c>
      <c r="I145" s="1">
        <f>Table1[[#This Row],[Harga satuan penjualan]]*Table1[[#This Row],[Volume]]</f>
        <v>8400000</v>
      </c>
      <c r="J145" s="1">
        <f>Table1[[#This Row],[Total Penjualan]]-Table1[[#This Row],[Total pembelian]]</f>
        <v>200000</v>
      </c>
      <c r="L145" s="2"/>
    </row>
    <row r="146" spans="1:12" x14ac:dyDescent="0.2">
      <c r="A146" s="3">
        <v>45802</v>
      </c>
      <c r="B146" s="3" t="s">
        <v>18</v>
      </c>
      <c r="C146" s="3" t="s">
        <v>16</v>
      </c>
      <c r="D146" t="s">
        <v>0</v>
      </c>
      <c r="E146" s="1">
        <v>80</v>
      </c>
      <c r="F146" s="1">
        <v>205000</v>
      </c>
      <c r="G146" s="1">
        <f>Table1[[#This Row],[Volume]]*Table1[[#This Row],[Harga satuan pembelian]]</f>
        <v>16400000</v>
      </c>
      <c r="H146" s="1">
        <v>225000</v>
      </c>
      <c r="I146" s="1">
        <f>Table1[[#This Row],[Harga satuan penjualan]]*Table1[[#This Row],[Volume]]</f>
        <v>18000000</v>
      </c>
      <c r="J146" s="1">
        <f>Table1[[#This Row],[Total Penjualan]]-Table1[[#This Row],[Total pembelian]]</f>
        <v>1600000</v>
      </c>
      <c r="L146" s="2"/>
    </row>
    <row r="147" spans="1:12" x14ac:dyDescent="0.2">
      <c r="A147" s="3">
        <v>45803</v>
      </c>
      <c r="B147" s="3" t="s">
        <v>18</v>
      </c>
      <c r="C147" s="3" t="s">
        <v>16</v>
      </c>
      <c r="D147" t="s">
        <v>10</v>
      </c>
      <c r="E147" s="1">
        <v>80</v>
      </c>
      <c r="F147" s="1">
        <v>135000</v>
      </c>
      <c r="G147" s="1">
        <f>Table1[[#This Row],[Volume]]*Table1[[#This Row],[Harga satuan pembelian]]</f>
        <v>10800000</v>
      </c>
      <c r="H147" s="1">
        <v>210000</v>
      </c>
      <c r="I147" s="1">
        <f>Table1[[#This Row],[Harga satuan penjualan]]*Table1[[#This Row],[Volume]]</f>
        <v>16800000</v>
      </c>
      <c r="J147" s="1">
        <f>Table1[[#This Row],[Total Penjualan]]-Table1[[#This Row],[Total pembelian]]</f>
        <v>6000000</v>
      </c>
      <c r="L147" s="2"/>
    </row>
    <row r="148" spans="1:12" x14ac:dyDescent="0.2">
      <c r="A148" s="3">
        <v>45804</v>
      </c>
      <c r="B148" s="3" t="s">
        <v>18</v>
      </c>
      <c r="C148" s="3" t="s">
        <v>16</v>
      </c>
      <c r="D148" t="s">
        <v>2</v>
      </c>
      <c r="E148" s="1">
        <v>70</v>
      </c>
      <c r="F148" s="1">
        <v>205000</v>
      </c>
      <c r="G148" s="1">
        <f>Table1[[#This Row],[Volume]]*Table1[[#This Row],[Harga satuan pembelian]]</f>
        <v>14350000</v>
      </c>
      <c r="H148" s="1">
        <v>210000</v>
      </c>
      <c r="I148" s="1">
        <f>Table1[[#This Row],[Harga satuan penjualan]]*Table1[[#This Row],[Volume]]</f>
        <v>14700000</v>
      </c>
      <c r="J148" s="1">
        <f>Table1[[#This Row],[Total Penjualan]]-Table1[[#This Row],[Total pembelian]]</f>
        <v>350000</v>
      </c>
      <c r="L148" s="2"/>
    </row>
    <row r="149" spans="1:12" x14ac:dyDescent="0.2">
      <c r="A149" s="3">
        <v>45805</v>
      </c>
      <c r="B149" s="3" t="s">
        <v>18</v>
      </c>
      <c r="C149" s="3" t="s">
        <v>16</v>
      </c>
      <c r="D149" t="s">
        <v>0</v>
      </c>
      <c r="E149" s="1">
        <v>70</v>
      </c>
      <c r="F149" s="1">
        <v>105000</v>
      </c>
      <c r="G149" s="1">
        <f>Table1[[#This Row],[Volume]]*Table1[[#This Row],[Harga satuan pembelian]]</f>
        <v>7350000</v>
      </c>
      <c r="H149" s="1">
        <v>225000</v>
      </c>
      <c r="I149" s="1">
        <f>Table1[[#This Row],[Harga satuan penjualan]]*Table1[[#This Row],[Volume]]</f>
        <v>15750000</v>
      </c>
      <c r="J149" s="1">
        <f>Table1[[#This Row],[Total Penjualan]]-Table1[[#This Row],[Total pembelian]]</f>
        <v>8400000</v>
      </c>
      <c r="L149" s="2"/>
    </row>
    <row r="150" spans="1:12" x14ac:dyDescent="0.2">
      <c r="A150" s="3">
        <v>45806</v>
      </c>
      <c r="B150" s="3" t="s">
        <v>18</v>
      </c>
      <c r="C150" s="3" t="s">
        <v>17</v>
      </c>
      <c r="D150" t="s">
        <v>10</v>
      </c>
      <c r="E150" s="1">
        <v>60</v>
      </c>
      <c r="F150" s="1">
        <v>135000</v>
      </c>
      <c r="G150" s="1">
        <f>Table1[[#This Row],[Volume]]*Table1[[#This Row],[Harga satuan pembelian]]</f>
        <v>8100000</v>
      </c>
      <c r="H150" s="1">
        <v>210000</v>
      </c>
      <c r="I150" s="1">
        <f>Table1[[#This Row],[Harga satuan penjualan]]*Table1[[#This Row],[Volume]]</f>
        <v>12600000</v>
      </c>
      <c r="J150" s="1">
        <f>Table1[[#This Row],[Total Penjualan]]-Table1[[#This Row],[Total pembelian]]</f>
        <v>4500000</v>
      </c>
      <c r="L150" s="2"/>
    </row>
    <row r="151" spans="1:12" x14ac:dyDescent="0.2">
      <c r="A151" s="3">
        <v>45807</v>
      </c>
      <c r="B151" s="3" t="s">
        <v>12</v>
      </c>
      <c r="C151" s="3" t="s">
        <v>17</v>
      </c>
      <c r="D151" t="s">
        <v>2</v>
      </c>
      <c r="E151" s="1">
        <v>60</v>
      </c>
      <c r="F151" s="1">
        <v>105000</v>
      </c>
      <c r="G151" s="1">
        <f>Table1[[#This Row],[Volume]]*Table1[[#This Row],[Harga satuan pembelian]]</f>
        <v>6300000</v>
      </c>
      <c r="H151" s="1">
        <v>210000</v>
      </c>
      <c r="I151" s="1">
        <f>Table1[[#This Row],[Harga satuan penjualan]]*Table1[[#This Row],[Volume]]</f>
        <v>12600000</v>
      </c>
      <c r="J151" s="1">
        <f>Table1[[#This Row],[Total Penjualan]]-Table1[[#This Row],[Total pembelian]]</f>
        <v>6300000</v>
      </c>
      <c r="L151" s="2"/>
    </row>
    <row r="152" spans="1:12" x14ac:dyDescent="0.2">
      <c r="A152" s="3">
        <v>45808</v>
      </c>
      <c r="B152" s="3" t="s">
        <v>13</v>
      </c>
      <c r="C152" s="3" t="s">
        <v>17</v>
      </c>
      <c r="D152" t="s">
        <v>0</v>
      </c>
      <c r="E152" s="1">
        <v>90</v>
      </c>
      <c r="F152" s="1">
        <v>175000</v>
      </c>
      <c r="G152" s="1">
        <f>Table1[[#This Row],[Volume]]*Table1[[#This Row],[Harga satuan pembelian]]</f>
        <v>15750000</v>
      </c>
      <c r="H152" s="1">
        <v>225000</v>
      </c>
      <c r="I152" s="1">
        <f>Table1[[#This Row],[Harga satuan penjualan]]*Table1[[#This Row],[Volume]]</f>
        <v>20250000</v>
      </c>
      <c r="J152" s="1">
        <f>Table1[[#This Row],[Total Penjualan]]-Table1[[#This Row],[Total pembelian]]</f>
        <v>4500000</v>
      </c>
      <c r="L152" s="2"/>
    </row>
    <row r="153" spans="1:12" x14ac:dyDescent="0.2">
      <c r="A153" s="3">
        <v>45809</v>
      </c>
      <c r="B153" s="3" t="s">
        <v>13</v>
      </c>
      <c r="C153" s="3" t="s">
        <v>17</v>
      </c>
      <c r="D153" t="s">
        <v>10</v>
      </c>
      <c r="E153" s="1">
        <v>50</v>
      </c>
      <c r="F153" s="1">
        <v>175000</v>
      </c>
      <c r="G153" s="1">
        <f>Table1[[#This Row],[Volume]]*Table1[[#This Row],[Harga satuan pembelian]]</f>
        <v>8750000</v>
      </c>
      <c r="H153" s="1">
        <v>210000</v>
      </c>
      <c r="I153" s="1">
        <f>Table1[[#This Row],[Harga satuan penjualan]]*Table1[[#This Row],[Volume]]</f>
        <v>10500000</v>
      </c>
      <c r="J153" s="1">
        <f>Table1[[#This Row],[Total Penjualan]]-Table1[[#This Row],[Total pembelian]]</f>
        <v>1750000</v>
      </c>
      <c r="L153" s="2"/>
    </row>
    <row r="154" spans="1:12" x14ac:dyDescent="0.2">
      <c r="A154" s="3">
        <v>45810</v>
      </c>
      <c r="B154" s="3" t="s">
        <v>18</v>
      </c>
      <c r="C154" s="3" t="s">
        <v>15</v>
      </c>
      <c r="D154" t="s">
        <v>2</v>
      </c>
      <c r="E154" s="1">
        <v>60</v>
      </c>
      <c r="F154" s="1">
        <v>115000</v>
      </c>
      <c r="G154" s="1">
        <f>Table1[[#This Row],[Volume]]*Table1[[#This Row],[Harga satuan pembelian]]</f>
        <v>6900000</v>
      </c>
      <c r="H154" s="1">
        <v>210000</v>
      </c>
      <c r="I154" s="1">
        <f>Table1[[#This Row],[Harga satuan penjualan]]*Table1[[#This Row],[Volume]]</f>
        <v>12600000</v>
      </c>
      <c r="J154" s="1">
        <f>Table1[[#This Row],[Total Penjualan]]-Table1[[#This Row],[Total pembelian]]</f>
        <v>5700000</v>
      </c>
      <c r="L154" s="2"/>
    </row>
    <row r="155" spans="1:12" x14ac:dyDescent="0.2">
      <c r="A155" s="3">
        <v>45811</v>
      </c>
      <c r="B155" s="3" t="s">
        <v>18</v>
      </c>
      <c r="C155" s="3" t="s">
        <v>15</v>
      </c>
      <c r="D155" t="s">
        <v>0</v>
      </c>
      <c r="E155" s="1">
        <v>50</v>
      </c>
      <c r="F155" s="1">
        <v>175000</v>
      </c>
      <c r="G155" s="1">
        <f>Table1[[#This Row],[Volume]]*Table1[[#This Row],[Harga satuan pembelian]]</f>
        <v>8750000</v>
      </c>
      <c r="H155" s="1">
        <v>225000</v>
      </c>
      <c r="I155" s="1">
        <f>Table1[[#This Row],[Harga satuan penjualan]]*Table1[[#This Row],[Volume]]</f>
        <v>11250000</v>
      </c>
      <c r="J155" s="1">
        <f>Table1[[#This Row],[Total Penjualan]]-Table1[[#This Row],[Total pembelian]]</f>
        <v>2500000</v>
      </c>
      <c r="L155" s="2"/>
    </row>
    <row r="156" spans="1:12" x14ac:dyDescent="0.2">
      <c r="A156" s="3">
        <v>45812</v>
      </c>
      <c r="B156" s="3" t="s">
        <v>18</v>
      </c>
      <c r="C156" s="3" t="s">
        <v>15</v>
      </c>
      <c r="D156" t="s">
        <v>10</v>
      </c>
      <c r="E156" s="1">
        <v>90</v>
      </c>
      <c r="F156" s="1">
        <v>135000</v>
      </c>
      <c r="G156" s="1">
        <f>Table1[[#This Row],[Volume]]*Table1[[#This Row],[Harga satuan pembelian]]</f>
        <v>12150000</v>
      </c>
      <c r="H156" s="1">
        <v>210000</v>
      </c>
      <c r="I156" s="1">
        <f>Table1[[#This Row],[Harga satuan penjualan]]*Table1[[#This Row],[Volume]]</f>
        <v>18900000</v>
      </c>
      <c r="J156" s="1">
        <f>Table1[[#This Row],[Total Penjualan]]-Table1[[#This Row],[Total pembelian]]</f>
        <v>6750000</v>
      </c>
      <c r="L156" s="2"/>
    </row>
    <row r="157" spans="1:12" x14ac:dyDescent="0.2">
      <c r="A157" s="3">
        <v>45813</v>
      </c>
      <c r="B157" s="3" t="s">
        <v>18</v>
      </c>
      <c r="C157" s="3" t="s">
        <v>15</v>
      </c>
      <c r="D157" t="s">
        <v>2</v>
      </c>
      <c r="E157" s="1">
        <v>50</v>
      </c>
      <c r="F157" s="1">
        <v>165000</v>
      </c>
      <c r="G157" s="1">
        <f>Table1[[#This Row],[Volume]]*Table1[[#This Row],[Harga satuan pembelian]]</f>
        <v>8250000</v>
      </c>
      <c r="H157" s="1">
        <v>210000</v>
      </c>
      <c r="I157" s="1">
        <f>Table1[[#This Row],[Harga satuan penjualan]]*Table1[[#This Row],[Volume]]</f>
        <v>10500000</v>
      </c>
      <c r="J157" s="1">
        <f>Table1[[#This Row],[Total Penjualan]]-Table1[[#This Row],[Total pembelian]]</f>
        <v>2250000</v>
      </c>
      <c r="L157" s="2"/>
    </row>
    <row r="158" spans="1:12" x14ac:dyDescent="0.2">
      <c r="A158" s="3">
        <v>45814</v>
      </c>
      <c r="B158" s="3" t="s">
        <v>18</v>
      </c>
      <c r="C158" s="3" t="s">
        <v>15</v>
      </c>
      <c r="D158" t="s">
        <v>0</v>
      </c>
      <c r="E158" s="1">
        <v>50</v>
      </c>
      <c r="F158" s="1">
        <v>145000</v>
      </c>
      <c r="G158" s="1">
        <f>Table1[[#This Row],[Volume]]*Table1[[#This Row],[Harga satuan pembelian]]</f>
        <v>7250000</v>
      </c>
      <c r="H158" s="1">
        <v>225000</v>
      </c>
      <c r="I158" s="1">
        <f>Table1[[#This Row],[Harga satuan penjualan]]*Table1[[#This Row],[Volume]]</f>
        <v>11250000</v>
      </c>
      <c r="J158" s="1">
        <f>Table1[[#This Row],[Total Penjualan]]-Table1[[#This Row],[Total pembelian]]</f>
        <v>4000000</v>
      </c>
      <c r="L158" s="2"/>
    </row>
    <row r="159" spans="1:12" x14ac:dyDescent="0.2">
      <c r="A159" s="3">
        <v>45815</v>
      </c>
      <c r="B159" s="3" t="s">
        <v>18</v>
      </c>
      <c r="C159" s="3" t="s">
        <v>15</v>
      </c>
      <c r="D159" t="s">
        <v>10</v>
      </c>
      <c r="E159" s="1">
        <v>40</v>
      </c>
      <c r="F159" s="1">
        <v>145000</v>
      </c>
      <c r="G159" s="1">
        <f>Table1[[#This Row],[Volume]]*Table1[[#This Row],[Harga satuan pembelian]]</f>
        <v>5800000</v>
      </c>
      <c r="H159" s="1">
        <v>210000</v>
      </c>
      <c r="I159" s="1">
        <f>Table1[[#This Row],[Harga satuan penjualan]]*Table1[[#This Row],[Volume]]</f>
        <v>8400000</v>
      </c>
      <c r="J159" s="1">
        <f>Table1[[#This Row],[Total Penjualan]]-Table1[[#This Row],[Total pembelian]]</f>
        <v>2600000</v>
      </c>
      <c r="L159" s="2"/>
    </row>
    <row r="160" spans="1:12" x14ac:dyDescent="0.2">
      <c r="A160" s="3">
        <v>45816</v>
      </c>
      <c r="B160" s="3" t="s">
        <v>18</v>
      </c>
      <c r="C160" s="3" t="s">
        <v>15</v>
      </c>
      <c r="D160" t="s">
        <v>2</v>
      </c>
      <c r="E160" s="1">
        <v>70</v>
      </c>
      <c r="F160" s="1">
        <v>105000</v>
      </c>
      <c r="G160" s="1">
        <f>Table1[[#This Row],[Volume]]*Table1[[#This Row],[Harga satuan pembelian]]</f>
        <v>7350000</v>
      </c>
      <c r="H160" s="1">
        <v>210000</v>
      </c>
      <c r="I160" s="1">
        <f>Table1[[#This Row],[Harga satuan penjualan]]*Table1[[#This Row],[Volume]]</f>
        <v>14700000</v>
      </c>
      <c r="J160" s="1">
        <f>Table1[[#This Row],[Total Penjualan]]-Table1[[#This Row],[Total pembelian]]</f>
        <v>7350000</v>
      </c>
      <c r="L160" s="2"/>
    </row>
    <row r="161" spans="1:12" x14ac:dyDescent="0.2">
      <c r="A161" s="3">
        <v>45817</v>
      </c>
      <c r="B161" s="3" t="s">
        <v>12</v>
      </c>
      <c r="C161" s="3" t="s">
        <v>15</v>
      </c>
      <c r="D161" t="s">
        <v>0</v>
      </c>
      <c r="E161" s="1">
        <v>50</v>
      </c>
      <c r="F161" s="1">
        <v>135000</v>
      </c>
      <c r="G161" s="1">
        <f>Table1[[#This Row],[Volume]]*Table1[[#This Row],[Harga satuan pembelian]]</f>
        <v>6750000</v>
      </c>
      <c r="H161" s="1">
        <v>225000</v>
      </c>
      <c r="I161" s="1">
        <f>Table1[[#This Row],[Harga satuan penjualan]]*Table1[[#This Row],[Volume]]</f>
        <v>11250000</v>
      </c>
      <c r="J161" s="1">
        <f>Table1[[#This Row],[Total Penjualan]]-Table1[[#This Row],[Total pembelian]]</f>
        <v>4500000</v>
      </c>
      <c r="L161" s="2"/>
    </row>
    <row r="162" spans="1:12" x14ac:dyDescent="0.2">
      <c r="A162" s="3">
        <v>45818</v>
      </c>
      <c r="B162" s="3" t="s">
        <v>13</v>
      </c>
      <c r="C162" s="3" t="s">
        <v>15</v>
      </c>
      <c r="D162" t="s">
        <v>10</v>
      </c>
      <c r="E162" s="1">
        <v>60</v>
      </c>
      <c r="F162" s="1">
        <v>145000</v>
      </c>
      <c r="G162" s="1">
        <f>Table1[[#This Row],[Volume]]*Table1[[#This Row],[Harga satuan pembelian]]</f>
        <v>8700000</v>
      </c>
      <c r="H162" s="1">
        <v>210000</v>
      </c>
      <c r="I162" s="1">
        <f>Table1[[#This Row],[Harga satuan penjualan]]*Table1[[#This Row],[Volume]]</f>
        <v>12600000</v>
      </c>
      <c r="J162" s="1">
        <f>Table1[[#This Row],[Total Penjualan]]-Table1[[#This Row],[Total pembelian]]</f>
        <v>3900000</v>
      </c>
      <c r="L162" s="2"/>
    </row>
    <row r="163" spans="1:12" x14ac:dyDescent="0.2">
      <c r="A163" s="3">
        <v>45819</v>
      </c>
      <c r="B163" s="3" t="s">
        <v>13</v>
      </c>
      <c r="C163" s="3" t="s">
        <v>15</v>
      </c>
      <c r="D163" t="s">
        <v>2</v>
      </c>
      <c r="E163" s="1">
        <v>60</v>
      </c>
      <c r="F163" s="1">
        <v>105000</v>
      </c>
      <c r="G163" s="1">
        <f>Table1[[#This Row],[Volume]]*Table1[[#This Row],[Harga satuan pembelian]]</f>
        <v>6300000</v>
      </c>
      <c r="H163" s="1">
        <v>210000</v>
      </c>
      <c r="I163" s="1">
        <f>Table1[[#This Row],[Harga satuan penjualan]]*Table1[[#This Row],[Volume]]</f>
        <v>12600000</v>
      </c>
      <c r="J163" s="1">
        <f>Table1[[#This Row],[Total Penjualan]]-Table1[[#This Row],[Total pembelian]]</f>
        <v>6300000</v>
      </c>
      <c r="L163" s="2"/>
    </row>
    <row r="164" spans="1:12" x14ac:dyDescent="0.2">
      <c r="A164" s="3">
        <v>45820</v>
      </c>
      <c r="B164" s="3" t="s">
        <v>18</v>
      </c>
      <c r="C164" s="3" t="s">
        <v>15</v>
      </c>
      <c r="D164" t="s">
        <v>0</v>
      </c>
      <c r="E164" s="1">
        <v>90</v>
      </c>
      <c r="F164" s="1">
        <v>155000</v>
      </c>
      <c r="G164" s="1">
        <f>Table1[[#This Row],[Volume]]*Table1[[#This Row],[Harga satuan pembelian]]</f>
        <v>13950000</v>
      </c>
      <c r="H164" s="1">
        <v>225000</v>
      </c>
      <c r="I164" s="1">
        <f>Table1[[#This Row],[Harga satuan penjualan]]*Table1[[#This Row],[Volume]]</f>
        <v>20250000</v>
      </c>
      <c r="J164" s="1">
        <f>Table1[[#This Row],[Total Penjualan]]-Table1[[#This Row],[Total pembelian]]</f>
        <v>6300000</v>
      </c>
      <c r="L164" s="2"/>
    </row>
    <row r="165" spans="1:12" x14ac:dyDescent="0.2">
      <c r="A165" s="3">
        <v>45821</v>
      </c>
      <c r="B165" s="3" t="s">
        <v>18</v>
      </c>
      <c r="C165" s="3" t="s">
        <v>15</v>
      </c>
      <c r="D165" t="s">
        <v>10</v>
      </c>
      <c r="E165" s="1">
        <v>50</v>
      </c>
      <c r="F165" s="1">
        <v>145000</v>
      </c>
      <c r="G165" s="1">
        <f>Table1[[#This Row],[Volume]]*Table1[[#This Row],[Harga satuan pembelian]]</f>
        <v>7250000</v>
      </c>
      <c r="H165" s="1">
        <v>210000</v>
      </c>
      <c r="I165" s="1">
        <f>Table1[[#This Row],[Harga satuan penjualan]]*Table1[[#This Row],[Volume]]</f>
        <v>10500000</v>
      </c>
      <c r="J165" s="1">
        <f>Table1[[#This Row],[Total Penjualan]]-Table1[[#This Row],[Total pembelian]]</f>
        <v>3250000</v>
      </c>
      <c r="L165" s="2"/>
    </row>
    <row r="166" spans="1:12" x14ac:dyDescent="0.2">
      <c r="A166" s="3">
        <v>45822</v>
      </c>
      <c r="B166" s="3" t="s">
        <v>18</v>
      </c>
      <c r="C166" s="3" t="s">
        <v>16</v>
      </c>
      <c r="D166" t="s">
        <v>2</v>
      </c>
      <c r="E166" s="1">
        <v>90</v>
      </c>
      <c r="F166" s="1">
        <v>115000</v>
      </c>
      <c r="G166" s="1">
        <f>Table1[[#This Row],[Volume]]*Table1[[#This Row],[Harga satuan pembelian]]</f>
        <v>10350000</v>
      </c>
      <c r="H166" s="1">
        <v>210000</v>
      </c>
      <c r="I166" s="1">
        <f>Table1[[#This Row],[Harga satuan penjualan]]*Table1[[#This Row],[Volume]]</f>
        <v>18900000</v>
      </c>
      <c r="J166" s="1">
        <f>Table1[[#This Row],[Total Penjualan]]-Table1[[#This Row],[Total pembelian]]</f>
        <v>8550000</v>
      </c>
      <c r="L166" s="2"/>
    </row>
    <row r="167" spans="1:12" x14ac:dyDescent="0.2">
      <c r="A167" s="3">
        <v>45823</v>
      </c>
      <c r="B167" s="3" t="s">
        <v>18</v>
      </c>
      <c r="C167" s="3" t="s">
        <v>16</v>
      </c>
      <c r="D167" t="s">
        <v>0</v>
      </c>
      <c r="E167" s="1">
        <v>90</v>
      </c>
      <c r="F167" s="1">
        <v>105000</v>
      </c>
      <c r="G167" s="1">
        <f>Table1[[#This Row],[Volume]]*Table1[[#This Row],[Harga satuan pembelian]]</f>
        <v>9450000</v>
      </c>
      <c r="H167" s="1">
        <v>225000</v>
      </c>
      <c r="I167" s="1">
        <f>Table1[[#This Row],[Harga satuan penjualan]]*Table1[[#This Row],[Volume]]</f>
        <v>20250000</v>
      </c>
      <c r="J167" s="1">
        <f>Table1[[#This Row],[Total Penjualan]]-Table1[[#This Row],[Total pembelian]]</f>
        <v>10800000</v>
      </c>
      <c r="L167" s="2"/>
    </row>
    <row r="168" spans="1:12" x14ac:dyDescent="0.2">
      <c r="A168" s="3">
        <v>45824</v>
      </c>
      <c r="B168" s="3" t="s">
        <v>18</v>
      </c>
      <c r="C168" s="3" t="s">
        <v>16</v>
      </c>
      <c r="D168" t="s">
        <v>10</v>
      </c>
      <c r="E168" s="1">
        <v>40</v>
      </c>
      <c r="F168" s="1">
        <v>165000</v>
      </c>
      <c r="G168" s="1">
        <f>Table1[[#This Row],[Volume]]*Table1[[#This Row],[Harga satuan pembelian]]</f>
        <v>6600000</v>
      </c>
      <c r="H168" s="1">
        <v>210000</v>
      </c>
      <c r="I168" s="1">
        <f>Table1[[#This Row],[Harga satuan penjualan]]*Table1[[#This Row],[Volume]]</f>
        <v>8400000</v>
      </c>
      <c r="J168" s="1">
        <f>Table1[[#This Row],[Total Penjualan]]-Table1[[#This Row],[Total pembelian]]</f>
        <v>1800000</v>
      </c>
      <c r="L168" s="2"/>
    </row>
    <row r="169" spans="1:12" x14ac:dyDescent="0.2">
      <c r="A169" s="3">
        <v>45825</v>
      </c>
      <c r="B169" s="3" t="s">
        <v>18</v>
      </c>
      <c r="C169" s="3" t="s">
        <v>16</v>
      </c>
      <c r="D169" t="s">
        <v>2</v>
      </c>
      <c r="E169" s="1">
        <v>40</v>
      </c>
      <c r="F169" s="1">
        <v>95000</v>
      </c>
      <c r="G169" s="1">
        <f>Table1[[#This Row],[Volume]]*Table1[[#This Row],[Harga satuan pembelian]]</f>
        <v>3800000</v>
      </c>
      <c r="H169" s="1">
        <v>210000</v>
      </c>
      <c r="I169" s="1">
        <f>Table1[[#This Row],[Harga satuan penjualan]]*Table1[[#This Row],[Volume]]</f>
        <v>8400000</v>
      </c>
      <c r="J169" s="1">
        <f>Table1[[#This Row],[Total Penjualan]]-Table1[[#This Row],[Total pembelian]]</f>
        <v>4600000</v>
      </c>
      <c r="L169" s="2"/>
    </row>
    <row r="170" spans="1:12" x14ac:dyDescent="0.2">
      <c r="A170" s="3">
        <v>45826</v>
      </c>
      <c r="B170" s="3" t="s">
        <v>18</v>
      </c>
      <c r="C170" s="3" t="s">
        <v>17</v>
      </c>
      <c r="D170" t="s">
        <v>0</v>
      </c>
      <c r="E170" s="1">
        <v>70</v>
      </c>
      <c r="F170" s="1">
        <v>215000</v>
      </c>
      <c r="G170" s="1">
        <f>Table1[[#This Row],[Volume]]*Table1[[#This Row],[Harga satuan pembelian]]</f>
        <v>15050000</v>
      </c>
      <c r="H170" s="1">
        <v>225000</v>
      </c>
      <c r="I170" s="1">
        <f>Table1[[#This Row],[Harga satuan penjualan]]*Table1[[#This Row],[Volume]]</f>
        <v>15750000</v>
      </c>
      <c r="J170" s="1">
        <f>Table1[[#This Row],[Total Penjualan]]-Table1[[#This Row],[Total pembelian]]</f>
        <v>700000</v>
      </c>
      <c r="L170" s="2"/>
    </row>
    <row r="171" spans="1:12" x14ac:dyDescent="0.2">
      <c r="A171" s="3">
        <v>45827</v>
      </c>
      <c r="B171" s="3" t="s">
        <v>12</v>
      </c>
      <c r="C171" s="3" t="s">
        <v>17</v>
      </c>
      <c r="D171" t="s">
        <v>10</v>
      </c>
      <c r="E171" s="1">
        <v>90</v>
      </c>
      <c r="F171" s="1">
        <v>175000</v>
      </c>
      <c r="G171" s="1">
        <f>Table1[[#This Row],[Volume]]*Table1[[#This Row],[Harga satuan pembelian]]</f>
        <v>15750000</v>
      </c>
      <c r="H171" s="1">
        <v>210000</v>
      </c>
      <c r="I171" s="1">
        <f>Table1[[#This Row],[Harga satuan penjualan]]*Table1[[#This Row],[Volume]]</f>
        <v>18900000</v>
      </c>
      <c r="J171" s="1">
        <f>Table1[[#This Row],[Total Penjualan]]-Table1[[#This Row],[Total pembelian]]</f>
        <v>3150000</v>
      </c>
      <c r="L171" s="2"/>
    </row>
    <row r="172" spans="1:12" x14ac:dyDescent="0.2">
      <c r="A172" s="3">
        <v>45828</v>
      </c>
      <c r="B172" s="3" t="s">
        <v>13</v>
      </c>
      <c r="C172" s="3" t="s">
        <v>17</v>
      </c>
      <c r="D172" t="s">
        <v>2</v>
      </c>
      <c r="E172" s="1">
        <v>60</v>
      </c>
      <c r="F172" s="1">
        <v>135000</v>
      </c>
      <c r="G172" s="1">
        <f>Table1[[#This Row],[Volume]]*Table1[[#This Row],[Harga satuan pembelian]]</f>
        <v>8100000</v>
      </c>
      <c r="H172" s="1">
        <v>210000</v>
      </c>
      <c r="I172" s="1">
        <f>Table1[[#This Row],[Harga satuan penjualan]]*Table1[[#This Row],[Volume]]</f>
        <v>12600000</v>
      </c>
      <c r="J172" s="1">
        <f>Table1[[#This Row],[Total Penjualan]]-Table1[[#This Row],[Total pembelian]]</f>
        <v>4500000</v>
      </c>
      <c r="L172" s="2"/>
    </row>
    <row r="173" spans="1:12" x14ac:dyDescent="0.2">
      <c r="A173" s="3">
        <v>45829</v>
      </c>
      <c r="B173" s="3" t="s">
        <v>13</v>
      </c>
      <c r="C173" s="3" t="s">
        <v>17</v>
      </c>
      <c r="D173" t="s">
        <v>0</v>
      </c>
      <c r="E173" s="1">
        <v>50</v>
      </c>
      <c r="F173" s="1">
        <v>165000</v>
      </c>
      <c r="G173" s="1">
        <f>Table1[[#This Row],[Volume]]*Table1[[#This Row],[Harga satuan pembelian]]</f>
        <v>8250000</v>
      </c>
      <c r="H173" s="1">
        <v>225000</v>
      </c>
      <c r="I173" s="1">
        <f>Table1[[#This Row],[Harga satuan penjualan]]*Table1[[#This Row],[Volume]]</f>
        <v>11250000</v>
      </c>
      <c r="J173" s="1">
        <f>Table1[[#This Row],[Total Penjualan]]-Table1[[#This Row],[Total pembelian]]</f>
        <v>3000000</v>
      </c>
      <c r="L173" s="2"/>
    </row>
    <row r="174" spans="1:12" x14ac:dyDescent="0.2">
      <c r="A174" s="3">
        <v>45830</v>
      </c>
      <c r="B174" s="3" t="s">
        <v>18</v>
      </c>
      <c r="C174" s="3" t="s">
        <v>15</v>
      </c>
      <c r="D174" t="s">
        <v>10</v>
      </c>
      <c r="E174" s="1">
        <v>50</v>
      </c>
      <c r="F174" s="1">
        <v>95000</v>
      </c>
      <c r="G174" s="1">
        <f>Table1[[#This Row],[Volume]]*Table1[[#This Row],[Harga satuan pembelian]]</f>
        <v>4750000</v>
      </c>
      <c r="H174" s="1">
        <v>210000</v>
      </c>
      <c r="I174" s="1">
        <f>Table1[[#This Row],[Harga satuan penjualan]]*Table1[[#This Row],[Volume]]</f>
        <v>10500000</v>
      </c>
      <c r="J174" s="1">
        <f>Table1[[#This Row],[Total Penjualan]]-Table1[[#This Row],[Total pembelian]]</f>
        <v>5750000</v>
      </c>
      <c r="L174" s="2"/>
    </row>
    <row r="175" spans="1:12" x14ac:dyDescent="0.2">
      <c r="A175" s="3">
        <v>45831</v>
      </c>
      <c r="B175" s="3" t="s">
        <v>18</v>
      </c>
      <c r="C175" s="3" t="s">
        <v>15</v>
      </c>
      <c r="D175" t="s">
        <v>2</v>
      </c>
      <c r="E175" s="1">
        <v>80</v>
      </c>
      <c r="F175" s="1">
        <v>85000</v>
      </c>
      <c r="G175" s="1">
        <f>Table1[[#This Row],[Volume]]*Table1[[#This Row],[Harga satuan pembelian]]</f>
        <v>6800000</v>
      </c>
      <c r="H175" s="1">
        <v>210000</v>
      </c>
      <c r="I175" s="1">
        <f>Table1[[#This Row],[Harga satuan penjualan]]*Table1[[#This Row],[Volume]]</f>
        <v>16800000</v>
      </c>
      <c r="J175" s="1">
        <f>Table1[[#This Row],[Total Penjualan]]-Table1[[#This Row],[Total pembelian]]</f>
        <v>10000000</v>
      </c>
      <c r="L175" s="2"/>
    </row>
    <row r="176" spans="1:12" x14ac:dyDescent="0.2">
      <c r="A176" s="3">
        <v>45832</v>
      </c>
      <c r="B176" s="3" t="s">
        <v>18</v>
      </c>
      <c r="C176" s="3" t="s">
        <v>15</v>
      </c>
      <c r="D176" t="s">
        <v>0</v>
      </c>
      <c r="E176" s="1">
        <v>80</v>
      </c>
      <c r="F176" s="1">
        <v>115000</v>
      </c>
      <c r="G176" s="1">
        <f>Table1[[#This Row],[Volume]]*Table1[[#This Row],[Harga satuan pembelian]]</f>
        <v>9200000</v>
      </c>
      <c r="H176" s="1">
        <v>225000</v>
      </c>
      <c r="I176" s="1">
        <f>Table1[[#This Row],[Harga satuan penjualan]]*Table1[[#This Row],[Volume]]</f>
        <v>18000000</v>
      </c>
      <c r="J176" s="1">
        <f>Table1[[#This Row],[Total Penjualan]]-Table1[[#This Row],[Total pembelian]]</f>
        <v>8800000</v>
      </c>
      <c r="L176" s="2"/>
    </row>
    <row r="177" spans="1:12" x14ac:dyDescent="0.2">
      <c r="A177" s="3">
        <v>45833</v>
      </c>
      <c r="B177" s="3" t="s">
        <v>18</v>
      </c>
      <c r="C177" s="3" t="s">
        <v>15</v>
      </c>
      <c r="D177" t="s">
        <v>10</v>
      </c>
      <c r="E177" s="1">
        <v>70</v>
      </c>
      <c r="F177" s="1">
        <v>135000</v>
      </c>
      <c r="G177" s="1">
        <f>Table1[[#This Row],[Volume]]*Table1[[#This Row],[Harga satuan pembelian]]</f>
        <v>9450000</v>
      </c>
      <c r="H177" s="1">
        <v>210000</v>
      </c>
      <c r="I177" s="1">
        <f>Table1[[#This Row],[Harga satuan penjualan]]*Table1[[#This Row],[Volume]]</f>
        <v>14700000</v>
      </c>
      <c r="J177" s="1">
        <f>Table1[[#This Row],[Total Penjualan]]-Table1[[#This Row],[Total pembelian]]</f>
        <v>5250000</v>
      </c>
      <c r="L177" s="2"/>
    </row>
    <row r="178" spans="1:12" x14ac:dyDescent="0.2">
      <c r="A178" s="3">
        <v>45834</v>
      </c>
      <c r="B178" s="3" t="s">
        <v>18</v>
      </c>
      <c r="C178" s="3" t="s">
        <v>15</v>
      </c>
      <c r="D178" t="s">
        <v>2</v>
      </c>
      <c r="E178" s="1">
        <v>60</v>
      </c>
      <c r="F178" s="1">
        <v>205000</v>
      </c>
      <c r="G178" s="1">
        <f>Table1[[#This Row],[Volume]]*Table1[[#This Row],[Harga satuan pembelian]]</f>
        <v>12300000</v>
      </c>
      <c r="H178" s="1">
        <v>210000</v>
      </c>
      <c r="I178" s="1">
        <f>Table1[[#This Row],[Harga satuan penjualan]]*Table1[[#This Row],[Volume]]</f>
        <v>12600000</v>
      </c>
      <c r="J178" s="1">
        <f>Table1[[#This Row],[Total Penjualan]]-Table1[[#This Row],[Total pembelian]]</f>
        <v>300000</v>
      </c>
      <c r="L178" s="2"/>
    </row>
    <row r="179" spans="1:12" x14ac:dyDescent="0.2">
      <c r="A179" s="3">
        <v>45835</v>
      </c>
      <c r="B179" s="3" t="s">
        <v>18</v>
      </c>
      <c r="C179" s="3" t="s">
        <v>15</v>
      </c>
      <c r="D179" t="s">
        <v>0</v>
      </c>
      <c r="E179" s="1">
        <v>80</v>
      </c>
      <c r="F179" s="1">
        <v>165000</v>
      </c>
      <c r="G179" s="1">
        <f>Table1[[#This Row],[Volume]]*Table1[[#This Row],[Harga satuan pembelian]]</f>
        <v>13200000</v>
      </c>
      <c r="H179" s="1">
        <v>225000</v>
      </c>
      <c r="I179" s="1">
        <f>Table1[[#This Row],[Harga satuan penjualan]]*Table1[[#This Row],[Volume]]</f>
        <v>18000000</v>
      </c>
      <c r="J179" s="1">
        <f>Table1[[#This Row],[Total Penjualan]]-Table1[[#This Row],[Total pembelian]]</f>
        <v>4800000</v>
      </c>
      <c r="L179" s="2"/>
    </row>
    <row r="180" spans="1:12" x14ac:dyDescent="0.2">
      <c r="A180" s="3">
        <v>45836</v>
      </c>
      <c r="B180" s="3" t="s">
        <v>18</v>
      </c>
      <c r="C180" s="3" t="s">
        <v>15</v>
      </c>
      <c r="D180" t="s">
        <v>10</v>
      </c>
      <c r="E180" s="1">
        <v>90</v>
      </c>
      <c r="F180" s="1">
        <v>95000</v>
      </c>
      <c r="G180" s="1">
        <f>Table1[[#This Row],[Volume]]*Table1[[#This Row],[Harga satuan pembelian]]</f>
        <v>8550000</v>
      </c>
      <c r="H180" s="1">
        <v>210000</v>
      </c>
      <c r="I180" s="1">
        <f>Table1[[#This Row],[Harga satuan penjualan]]*Table1[[#This Row],[Volume]]</f>
        <v>18900000</v>
      </c>
      <c r="J180" s="1">
        <f>Table1[[#This Row],[Total Penjualan]]-Table1[[#This Row],[Total pembelian]]</f>
        <v>10350000</v>
      </c>
      <c r="L180" s="2"/>
    </row>
    <row r="181" spans="1:12" x14ac:dyDescent="0.2">
      <c r="A181" s="3">
        <v>45837</v>
      </c>
      <c r="B181" s="3" t="s">
        <v>12</v>
      </c>
      <c r="C181" s="3" t="s">
        <v>15</v>
      </c>
      <c r="D181" t="s">
        <v>2</v>
      </c>
      <c r="E181" s="1">
        <v>70</v>
      </c>
      <c r="F181" s="1">
        <v>155000</v>
      </c>
      <c r="G181" s="1">
        <f>Table1[[#This Row],[Volume]]*Table1[[#This Row],[Harga satuan pembelian]]</f>
        <v>10850000</v>
      </c>
      <c r="H181" s="1">
        <v>210000</v>
      </c>
      <c r="I181" s="1">
        <f>Table1[[#This Row],[Harga satuan penjualan]]*Table1[[#This Row],[Volume]]</f>
        <v>14700000</v>
      </c>
      <c r="J181" s="1">
        <f>Table1[[#This Row],[Total Penjualan]]-Table1[[#This Row],[Total pembelian]]</f>
        <v>3850000</v>
      </c>
      <c r="L181" s="2"/>
    </row>
    <row r="182" spans="1:12" x14ac:dyDescent="0.2">
      <c r="A182" s="3">
        <v>45838</v>
      </c>
      <c r="B182" s="3" t="s">
        <v>13</v>
      </c>
      <c r="C182" s="3" t="s">
        <v>15</v>
      </c>
      <c r="D182" t="s">
        <v>0</v>
      </c>
      <c r="E182" s="1">
        <v>60</v>
      </c>
      <c r="F182" s="1">
        <v>135000</v>
      </c>
      <c r="G182" s="1">
        <f>Table1[[#This Row],[Volume]]*Table1[[#This Row],[Harga satuan pembelian]]</f>
        <v>8100000</v>
      </c>
      <c r="H182" s="1">
        <v>225000</v>
      </c>
      <c r="I182" s="1">
        <f>Table1[[#This Row],[Harga satuan penjualan]]*Table1[[#This Row],[Volume]]</f>
        <v>13500000</v>
      </c>
      <c r="J182" s="1">
        <f>Table1[[#This Row],[Total Penjualan]]-Table1[[#This Row],[Total pembelian]]</f>
        <v>5400000</v>
      </c>
      <c r="L182" s="2"/>
    </row>
    <row r="183" spans="1:12" x14ac:dyDescent="0.2">
      <c r="A183" s="3">
        <v>45839</v>
      </c>
      <c r="B183" s="3" t="s">
        <v>13</v>
      </c>
      <c r="C183" s="3" t="s">
        <v>15</v>
      </c>
      <c r="D183" t="s">
        <v>10</v>
      </c>
      <c r="E183" s="1">
        <v>70</v>
      </c>
      <c r="F183" s="1">
        <v>115000</v>
      </c>
      <c r="G183" s="1">
        <f>Table1[[#This Row],[Volume]]*Table1[[#This Row],[Harga satuan pembelian]]</f>
        <v>8050000</v>
      </c>
      <c r="H183" s="1">
        <v>210000</v>
      </c>
      <c r="I183" s="1">
        <f>Table1[[#This Row],[Harga satuan penjualan]]*Table1[[#This Row],[Volume]]</f>
        <v>14700000</v>
      </c>
      <c r="J183" s="1">
        <f>Table1[[#This Row],[Total Penjualan]]-Table1[[#This Row],[Total pembelian]]</f>
        <v>6650000</v>
      </c>
      <c r="L183" s="2"/>
    </row>
    <row r="184" spans="1:12" x14ac:dyDescent="0.2">
      <c r="A184" s="3">
        <v>45840</v>
      </c>
      <c r="B184" s="3" t="s">
        <v>18</v>
      </c>
      <c r="C184" s="3" t="s">
        <v>15</v>
      </c>
      <c r="D184" t="s">
        <v>2</v>
      </c>
      <c r="E184" s="1">
        <v>90</v>
      </c>
      <c r="F184" s="1">
        <v>165000</v>
      </c>
      <c r="G184" s="1">
        <f>Table1[[#This Row],[Volume]]*Table1[[#This Row],[Harga satuan pembelian]]</f>
        <v>14850000</v>
      </c>
      <c r="H184" s="1">
        <v>210000</v>
      </c>
      <c r="I184" s="1">
        <f>Table1[[#This Row],[Harga satuan penjualan]]*Table1[[#This Row],[Volume]]</f>
        <v>18900000</v>
      </c>
      <c r="J184" s="1">
        <f>Table1[[#This Row],[Total Penjualan]]-Table1[[#This Row],[Total pembelian]]</f>
        <v>4050000</v>
      </c>
      <c r="L184" s="2"/>
    </row>
    <row r="185" spans="1:12" x14ac:dyDescent="0.2">
      <c r="A185" s="3">
        <v>45841</v>
      </c>
      <c r="B185" s="3" t="s">
        <v>18</v>
      </c>
      <c r="C185" s="3" t="s">
        <v>15</v>
      </c>
      <c r="D185" t="s">
        <v>0</v>
      </c>
      <c r="E185" s="1">
        <v>60</v>
      </c>
      <c r="F185" s="1">
        <v>105000</v>
      </c>
      <c r="G185" s="1">
        <f>Table1[[#This Row],[Volume]]*Table1[[#This Row],[Harga satuan pembelian]]</f>
        <v>6300000</v>
      </c>
      <c r="H185" s="1">
        <v>225000</v>
      </c>
      <c r="I185" s="1">
        <f>Table1[[#This Row],[Harga satuan penjualan]]*Table1[[#This Row],[Volume]]</f>
        <v>13500000</v>
      </c>
      <c r="J185" s="1">
        <f>Table1[[#This Row],[Total Penjualan]]-Table1[[#This Row],[Total pembelian]]</f>
        <v>7200000</v>
      </c>
      <c r="L185" s="2"/>
    </row>
    <row r="186" spans="1:12" x14ac:dyDescent="0.2">
      <c r="A186" s="3">
        <v>45842</v>
      </c>
      <c r="B186" s="3" t="s">
        <v>18</v>
      </c>
      <c r="C186" s="3" t="s">
        <v>16</v>
      </c>
      <c r="D186" t="s">
        <v>10</v>
      </c>
      <c r="E186" s="1">
        <v>80</v>
      </c>
      <c r="F186" s="1">
        <v>165000</v>
      </c>
      <c r="G186" s="1">
        <f>Table1[[#This Row],[Volume]]*Table1[[#This Row],[Harga satuan pembelian]]</f>
        <v>13200000</v>
      </c>
      <c r="H186" s="1">
        <v>210000</v>
      </c>
      <c r="I186" s="1">
        <f>Table1[[#This Row],[Harga satuan penjualan]]*Table1[[#This Row],[Volume]]</f>
        <v>16800000</v>
      </c>
      <c r="J186" s="1">
        <f>Table1[[#This Row],[Total Penjualan]]-Table1[[#This Row],[Total pembelian]]</f>
        <v>3600000</v>
      </c>
      <c r="L186" s="2"/>
    </row>
    <row r="187" spans="1:12" x14ac:dyDescent="0.2">
      <c r="A187" s="3">
        <v>45843</v>
      </c>
      <c r="B187" s="3" t="s">
        <v>18</v>
      </c>
      <c r="C187" s="3" t="s">
        <v>16</v>
      </c>
      <c r="D187" t="s">
        <v>2</v>
      </c>
      <c r="E187" s="1">
        <v>80</v>
      </c>
      <c r="F187" s="1">
        <v>195000</v>
      </c>
      <c r="G187" s="1">
        <f>Table1[[#This Row],[Volume]]*Table1[[#This Row],[Harga satuan pembelian]]</f>
        <v>15600000</v>
      </c>
      <c r="H187" s="1">
        <v>210000</v>
      </c>
      <c r="I187" s="1">
        <f>Table1[[#This Row],[Harga satuan penjualan]]*Table1[[#This Row],[Volume]]</f>
        <v>16800000</v>
      </c>
      <c r="J187" s="1">
        <f>Table1[[#This Row],[Total Penjualan]]-Table1[[#This Row],[Total pembelian]]</f>
        <v>1200000</v>
      </c>
      <c r="L187" s="2"/>
    </row>
    <row r="188" spans="1:12" x14ac:dyDescent="0.2">
      <c r="A188" s="3">
        <v>45844</v>
      </c>
      <c r="B188" s="3" t="s">
        <v>18</v>
      </c>
      <c r="C188" s="3" t="s">
        <v>16</v>
      </c>
      <c r="D188" t="s">
        <v>0</v>
      </c>
      <c r="E188" s="1">
        <v>70</v>
      </c>
      <c r="F188" s="1">
        <v>105000</v>
      </c>
      <c r="G188" s="1">
        <f>Table1[[#This Row],[Volume]]*Table1[[#This Row],[Harga satuan pembelian]]</f>
        <v>7350000</v>
      </c>
      <c r="H188" s="1">
        <v>225000</v>
      </c>
      <c r="I188" s="1">
        <f>Table1[[#This Row],[Harga satuan penjualan]]*Table1[[#This Row],[Volume]]</f>
        <v>15750000</v>
      </c>
      <c r="J188" s="1">
        <f>Table1[[#This Row],[Total Penjualan]]-Table1[[#This Row],[Total pembelian]]</f>
        <v>8400000</v>
      </c>
      <c r="L188" s="2"/>
    </row>
    <row r="189" spans="1:12" x14ac:dyDescent="0.2">
      <c r="A189" s="3">
        <v>45845</v>
      </c>
      <c r="B189" s="3" t="s">
        <v>18</v>
      </c>
      <c r="C189" s="3" t="s">
        <v>16</v>
      </c>
      <c r="D189" t="s">
        <v>10</v>
      </c>
      <c r="E189" s="1">
        <v>60</v>
      </c>
      <c r="F189" s="1">
        <v>165000</v>
      </c>
      <c r="G189" s="1">
        <f>Table1[[#This Row],[Volume]]*Table1[[#This Row],[Harga satuan pembelian]]</f>
        <v>9900000</v>
      </c>
      <c r="H189" s="1">
        <v>210000</v>
      </c>
      <c r="I189" s="1">
        <f>Table1[[#This Row],[Harga satuan penjualan]]*Table1[[#This Row],[Volume]]</f>
        <v>12600000</v>
      </c>
      <c r="J189" s="1">
        <f>Table1[[#This Row],[Total Penjualan]]-Table1[[#This Row],[Total pembelian]]</f>
        <v>2700000</v>
      </c>
      <c r="L189" s="2"/>
    </row>
    <row r="190" spans="1:12" x14ac:dyDescent="0.2">
      <c r="A190" s="3">
        <v>45846</v>
      </c>
      <c r="B190" s="3" t="s">
        <v>18</v>
      </c>
      <c r="C190" s="3" t="s">
        <v>17</v>
      </c>
      <c r="D190" t="s">
        <v>2</v>
      </c>
      <c r="E190" s="1">
        <v>90</v>
      </c>
      <c r="F190" s="1">
        <v>195000</v>
      </c>
      <c r="G190" s="1">
        <f>Table1[[#This Row],[Volume]]*Table1[[#This Row],[Harga satuan pembelian]]</f>
        <v>17550000</v>
      </c>
      <c r="H190" s="1">
        <v>210000</v>
      </c>
      <c r="I190" s="1">
        <f>Table1[[#This Row],[Harga satuan penjualan]]*Table1[[#This Row],[Volume]]</f>
        <v>18900000</v>
      </c>
      <c r="J190" s="1">
        <f>Table1[[#This Row],[Total Penjualan]]-Table1[[#This Row],[Total pembelian]]</f>
        <v>1350000</v>
      </c>
      <c r="L190" s="2"/>
    </row>
    <row r="191" spans="1:12" x14ac:dyDescent="0.2">
      <c r="A191" s="3">
        <v>45847</v>
      </c>
      <c r="B191" s="3" t="s">
        <v>12</v>
      </c>
      <c r="C191" s="3" t="s">
        <v>17</v>
      </c>
      <c r="D191" t="s">
        <v>0</v>
      </c>
      <c r="E191" s="1">
        <v>60</v>
      </c>
      <c r="F191" s="1">
        <v>165000</v>
      </c>
      <c r="G191" s="1">
        <f>Table1[[#This Row],[Volume]]*Table1[[#This Row],[Harga satuan pembelian]]</f>
        <v>9900000</v>
      </c>
      <c r="H191" s="1">
        <v>225000</v>
      </c>
      <c r="I191" s="1">
        <f>Table1[[#This Row],[Harga satuan penjualan]]*Table1[[#This Row],[Volume]]</f>
        <v>13500000</v>
      </c>
      <c r="J191" s="1">
        <f>Table1[[#This Row],[Total Penjualan]]-Table1[[#This Row],[Total pembelian]]</f>
        <v>3600000</v>
      </c>
      <c r="L191" s="2"/>
    </row>
    <row r="192" spans="1:12" x14ac:dyDescent="0.2">
      <c r="A192" s="3">
        <v>45848</v>
      </c>
      <c r="B192" s="3" t="s">
        <v>13</v>
      </c>
      <c r="C192" s="3" t="s">
        <v>17</v>
      </c>
      <c r="D192" t="s">
        <v>10</v>
      </c>
      <c r="E192" s="1">
        <v>40</v>
      </c>
      <c r="F192" s="1">
        <v>185000</v>
      </c>
      <c r="G192" s="1">
        <f>Table1[[#This Row],[Volume]]*Table1[[#This Row],[Harga satuan pembelian]]</f>
        <v>7400000</v>
      </c>
      <c r="H192" s="1">
        <v>210000</v>
      </c>
      <c r="I192" s="1">
        <f>Table1[[#This Row],[Harga satuan penjualan]]*Table1[[#This Row],[Volume]]</f>
        <v>8400000</v>
      </c>
      <c r="J192" s="1">
        <f>Table1[[#This Row],[Total Penjualan]]-Table1[[#This Row],[Total pembelian]]</f>
        <v>1000000</v>
      </c>
      <c r="L192" s="2"/>
    </row>
    <row r="193" spans="1:12" x14ac:dyDescent="0.2">
      <c r="A193" s="3">
        <v>45849</v>
      </c>
      <c r="B193" s="3" t="s">
        <v>13</v>
      </c>
      <c r="C193" s="3" t="s">
        <v>17</v>
      </c>
      <c r="D193" t="s">
        <v>2</v>
      </c>
      <c r="E193" s="1">
        <v>80</v>
      </c>
      <c r="F193" s="1">
        <v>165000</v>
      </c>
      <c r="G193" s="1">
        <f>Table1[[#This Row],[Volume]]*Table1[[#This Row],[Harga satuan pembelian]]</f>
        <v>13200000</v>
      </c>
      <c r="H193" s="1">
        <v>210000</v>
      </c>
      <c r="I193" s="1">
        <f>Table1[[#This Row],[Harga satuan penjualan]]*Table1[[#This Row],[Volume]]</f>
        <v>16800000</v>
      </c>
      <c r="J193" s="1">
        <f>Table1[[#This Row],[Total Penjualan]]-Table1[[#This Row],[Total pembelian]]</f>
        <v>3600000</v>
      </c>
      <c r="L193" s="2"/>
    </row>
    <row r="194" spans="1:12" x14ac:dyDescent="0.2">
      <c r="A194" s="3">
        <v>45850</v>
      </c>
      <c r="B194" s="3" t="s">
        <v>18</v>
      </c>
      <c r="C194" s="3" t="s">
        <v>15</v>
      </c>
      <c r="D194" t="s">
        <v>0</v>
      </c>
      <c r="E194" s="1">
        <v>50</v>
      </c>
      <c r="F194" s="1">
        <v>185000</v>
      </c>
      <c r="G194" s="1">
        <f>Table1[[#This Row],[Volume]]*Table1[[#This Row],[Harga satuan pembelian]]</f>
        <v>9250000</v>
      </c>
      <c r="H194" s="1">
        <v>225000</v>
      </c>
      <c r="I194" s="1">
        <f>Table1[[#This Row],[Harga satuan penjualan]]*Table1[[#This Row],[Volume]]</f>
        <v>11250000</v>
      </c>
      <c r="J194" s="1">
        <f>Table1[[#This Row],[Total Penjualan]]-Table1[[#This Row],[Total pembelian]]</f>
        <v>2000000</v>
      </c>
      <c r="L194" s="2"/>
    </row>
    <row r="195" spans="1:12" x14ac:dyDescent="0.2">
      <c r="A195" s="3">
        <v>45851</v>
      </c>
      <c r="B195" s="3" t="s">
        <v>18</v>
      </c>
      <c r="C195" s="3" t="s">
        <v>15</v>
      </c>
      <c r="D195" t="s">
        <v>10</v>
      </c>
      <c r="E195" s="1">
        <v>80</v>
      </c>
      <c r="F195" s="1">
        <v>205000</v>
      </c>
      <c r="G195" s="1">
        <f>Table1[[#This Row],[Volume]]*Table1[[#This Row],[Harga satuan pembelian]]</f>
        <v>16400000</v>
      </c>
      <c r="H195" s="1">
        <v>210000</v>
      </c>
      <c r="I195" s="1">
        <f>Table1[[#This Row],[Harga satuan penjualan]]*Table1[[#This Row],[Volume]]</f>
        <v>16800000</v>
      </c>
      <c r="J195" s="1">
        <f>Table1[[#This Row],[Total Penjualan]]-Table1[[#This Row],[Total pembelian]]</f>
        <v>400000</v>
      </c>
      <c r="L195" s="2"/>
    </row>
    <row r="196" spans="1:12" x14ac:dyDescent="0.2">
      <c r="A196" s="3">
        <v>45852</v>
      </c>
      <c r="B196" s="3" t="s">
        <v>18</v>
      </c>
      <c r="C196" s="3" t="s">
        <v>15</v>
      </c>
      <c r="D196" t="s">
        <v>2</v>
      </c>
      <c r="E196" s="1">
        <v>80</v>
      </c>
      <c r="F196" s="1">
        <v>185000</v>
      </c>
      <c r="G196" s="1">
        <f>Table1[[#This Row],[Volume]]*Table1[[#This Row],[Harga satuan pembelian]]</f>
        <v>14800000</v>
      </c>
      <c r="H196" s="1">
        <v>210000</v>
      </c>
      <c r="I196" s="1">
        <f>Table1[[#This Row],[Harga satuan penjualan]]*Table1[[#This Row],[Volume]]</f>
        <v>16800000</v>
      </c>
      <c r="J196" s="1">
        <f>Table1[[#This Row],[Total Penjualan]]-Table1[[#This Row],[Total pembelian]]</f>
        <v>2000000</v>
      </c>
      <c r="L196" s="2"/>
    </row>
    <row r="197" spans="1:12" x14ac:dyDescent="0.2">
      <c r="A197" s="3">
        <v>45853</v>
      </c>
      <c r="B197" s="3" t="s">
        <v>18</v>
      </c>
      <c r="C197" s="3" t="s">
        <v>15</v>
      </c>
      <c r="D197" t="s">
        <v>0</v>
      </c>
      <c r="E197" s="1">
        <v>60</v>
      </c>
      <c r="F197" s="1">
        <v>105000</v>
      </c>
      <c r="G197" s="1">
        <f>Table1[[#This Row],[Volume]]*Table1[[#This Row],[Harga satuan pembelian]]</f>
        <v>6300000</v>
      </c>
      <c r="H197" s="1">
        <v>225000</v>
      </c>
      <c r="I197" s="1">
        <f>Table1[[#This Row],[Harga satuan penjualan]]*Table1[[#This Row],[Volume]]</f>
        <v>13500000</v>
      </c>
      <c r="J197" s="1">
        <f>Table1[[#This Row],[Total Penjualan]]-Table1[[#This Row],[Total pembelian]]</f>
        <v>7200000</v>
      </c>
      <c r="L197" s="2"/>
    </row>
    <row r="198" spans="1:12" x14ac:dyDescent="0.2">
      <c r="A198" s="3">
        <v>45854</v>
      </c>
      <c r="B198" s="3" t="s">
        <v>18</v>
      </c>
      <c r="C198" s="3" t="s">
        <v>15</v>
      </c>
      <c r="D198" t="s">
        <v>10</v>
      </c>
      <c r="E198" s="1">
        <v>40</v>
      </c>
      <c r="F198" s="1">
        <v>165000</v>
      </c>
      <c r="G198" s="1">
        <f>Table1[[#This Row],[Volume]]*Table1[[#This Row],[Harga satuan pembelian]]</f>
        <v>6600000</v>
      </c>
      <c r="H198" s="1">
        <v>210000</v>
      </c>
      <c r="I198" s="1">
        <f>Table1[[#This Row],[Harga satuan penjualan]]*Table1[[#This Row],[Volume]]</f>
        <v>8400000</v>
      </c>
      <c r="J198" s="1">
        <f>Table1[[#This Row],[Total Penjualan]]-Table1[[#This Row],[Total pembelian]]</f>
        <v>1800000</v>
      </c>
      <c r="L198" s="2"/>
    </row>
    <row r="199" spans="1:12" x14ac:dyDescent="0.2">
      <c r="A199" s="3">
        <v>45855</v>
      </c>
      <c r="B199" s="3" t="s">
        <v>18</v>
      </c>
      <c r="C199" s="3" t="s">
        <v>15</v>
      </c>
      <c r="D199" t="s">
        <v>2</v>
      </c>
      <c r="E199" s="1">
        <v>50</v>
      </c>
      <c r="F199" s="1">
        <v>115000</v>
      </c>
      <c r="G199" s="1">
        <f>Table1[[#This Row],[Volume]]*Table1[[#This Row],[Harga satuan pembelian]]</f>
        <v>5750000</v>
      </c>
      <c r="H199" s="1">
        <v>210000</v>
      </c>
      <c r="I199" s="1">
        <f>Table1[[#This Row],[Harga satuan penjualan]]*Table1[[#This Row],[Volume]]</f>
        <v>10500000</v>
      </c>
      <c r="J199" s="1">
        <f>Table1[[#This Row],[Total Penjualan]]-Table1[[#This Row],[Total pembelian]]</f>
        <v>4750000</v>
      </c>
      <c r="L199" s="2"/>
    </row>
    <row r="200" spans="1:12" x14ac:dyDescent="0.2">
      <c r="A200" s="3">
        <v>45856</v>
      </c>
      <c r="B200" s="3" t="s">
        <v>18</v>
      </c>
      <c r="C200" s="3" t="s">
        <v>15</v>
      </c>
      <c r="D200" t="s">
        <v>0</v>
      </c>
      <c r="E200" s="1">
        <v>60</v>
      </c>
      <c r="F200" s="1">
        <v>165000</v>
      </c>
      <c r="G200" s="1">
        <f>Table1[[#This Row],[Volume]]*Table1[[#This Row],[Harga satuan pembelian]]</f>
        <v>9900000</v>
      </c>
      <c r="H200" s="1">
        <v>225000</v>
      </c>
      <c r="I200" s="1">
        <f>Table1[[#This Row],[Harga satuan penjualan]]*Table1[[#This Row],[Volume]]</f>
        <v>13500000</v>
      </c>
      <c r="J200" s="1">
        <f>Table1[[#This Row],[Total Penjualan]]-Table1[[#This Row],[Total pembelian]]</f>
        <v>3600000</v>
      </c>
      <c r="L200" s="2"/>
    </row>
    <row r="201" spans="1:12" x14ac:dyDescent="0.2">
      <c r="A201" s="3">
        <v>45857</v>
      </c>
      <c r="B201" s="3" t="s">
        <v>12</v>
      </c>
      <c r="C201" s="3" t="s">
        <v>15</v>
      </c>
      <c r="D201" t="s">
        <v>10</v>
      </c>
      <c r="E201" s="1">
        <v>80</v>
      </c>
      <c r="F201" s="1">
        <v>195000</v>
      </c>
      <c r="G201" s="1">
        <f>Table1[[#This Row],[Volume]]*Table1[[#This Row],[Harga satuan pembelian]]</f>
        <v>15600000</v>
      </c>
      <c r="H201" s="1">
        <v>210000</v>
      </c>
      <c r="I201" s="1">
        <f>Table1[[#This Row],[Harga satuan penjualan]]*Table1[[#This Row],[Volume]]</f>
        <v>16800000</v>
      </c>
      <c r="J201" s="1">
        <f>Table1[[#This Row],[Total Penjualan]]-Table1[[#This Row],[Total pembelian]]</f>
        <v>1200000</v>
      </c>
      <c r="L201" s="2"/>
    </row>
    <row r="202" spans="1:12" x14ac:dyDescent="0.2">
      <c r="A202" s="3">
        <v>45858</v>
      </c>
      <c r="B202" s="3" t="s">
        <v>13</v>
      </c>
      <c r="C202" s="3" t="s">
        <v>15</v>
      </c>
      <c r="D202" t="s">
        <v>2</v>
      </c>
      <c r="E202" s="1">
        <v>90</v>
      </c>
      <c r="F202" s="1">
        <v>125000</v>
      </c>
      <c r="G202" s="1">
        <f>Table1[[#This Row],[Volume]]*Table1[[#This Row],[Harga satuan pembelian]]</f>
        <v>11250000</v>
      </c>
      <c r="H202" s="1">
        <v>210000</v>
      </c>
      <c r="I202" s="1">
        <f>Table1[[#This Row],[Harga satuan penjualan]]*Table1[[#This Row],[Volume]]</f>
        <v>18900000</v>
      </c>
      <c r="J202" s="1">
        <f>Table1[[#This Row],[Total Penjualan]]-Table1[[#This Row],[Total pembelian]]</f>
        <v>7650000</v>
      </c>
      <c r="L202" s="2"/>
    </row>
    <row r="203" spans="1:12" x14ac:dyDescent="0.2">
      <c r="A203" s="3">
        <v>45859</v>
      </c>
      <c r="B203" s="3" t="s">
        <v>13</v>
      </c>
      <c r="C203" s="3" t="s">
        <v>15</v>
      </c>
      <c r="D203" t="s">
        <v>0</v>
      </c>
      <c r="E203" s="1">
        <v>80</v>
      </c>
      <c r="F203" s="1">
        <v>115000</v>
      </c>
      <c r="G203" s="1">
        <f>Table1[[#This Row],[Volume]]*Table1[[#This Row],[Harga satuan pembelian]]</f>
        <v>9200000</v>
      </c>
      <c r="H203" s="1">
        <v>225000</v>
      </c>
      <c r="I203" s="1">
        <f>Table1[[#This Row],[Harga satuan penjualan]]*Table1[[#This Row],[Volume]]</f>
        <v>18000000</v>
      </c>
      <c r="J203" s="1">
        <f>Table1[[#This Row],[Total Penjualan]]-Table1[[#This Row],[Total pembelian]]</f>
        <v>8800000</v>
      </c>
      <c r="L203" s="2"/>
    </row>
    <row r="204" spans="1:12" x14ac:dyDescent="0.2">
      <c r="A204" s="3">
        <v>45860</v>
      </c>
      <c r="B204" s="3" t="s">
        <v>18</v>
      </c>
      <c r="C204" s="3" t="s">
        <v>15</v>
      </c>
      <c r="D204" t="s">
        <v>10</v>
      </c>
      <c r="E204" s="1">
        <v>60</v>
      </c>
      <c r="F204" s="1">
        <v>155000</v>
      </c>
      <c r="G204" s="1">
        <f>Table1[[#This Row],[Volume]]*Table1[[#This Row],[Harga satuan pembelian]]</f>
        <v>9300000</v>
      </c>
      <c r="H204" s="1">
        <v>210000</v>
      </c>
      <c r="I204" s="1">
        <f>Table1[[#This Row],[Harga satuan penjualan]]*Table1[[#This Row],[Volume]]</f>
        <v>12600000</v>
      </c>
      <c r="J204" s="1">
        <f>Table1[[#This Row],[Total Penjualan]]-Table1[[#This Row],[Total pembelian]]</f>
        <v>3300000</v>
      </c>
      <c r="L204" s="2"/>
    </row>
    <row r="205" spans="1:12" x14ac:dyDescent="0.2">
      <c r="A205" s="3">
        <v>45861</v>
      </c>
      <c r="B205" s="3" t="s">
        <v>18</v>
      </c>
      <c r="C205" s="3" t="s">
        <v>15</v>
      </c>
      <c r="D205" t="s">
        <v>2</v>
      </c>
      <c r="E205" s="1">
        <v>60</v>
      </c>
      <c r="F205" s="1">
        <v>145000</v>
      </c>
      <c r="G205" s="1">
        <f>Table1[[#This Row],[Volume]]*Table1[[#This Row],[Harga satuan pembelian]]</f>
        <v>8700000</v>
      </c>
      <c r="H205" s="1">
        <v>210000</v>
      </c>
      <c r="I205" s="1">
        <f>Table1[[#This Row],[Harga satuan penjualan]]*Table1[[#This Row],[Volume]]</f>
        <v>12600000</v>
      </c>
      <c r="J205" s="1">
        <f>Table1[[#This Row],[Total Penjualan]]-Table1[[#This Row],[Total pembelian]]</f>
        <v>3900000</v>
      </c>
      <c r="L205" s="2"/>
    </row>
    <row r="206" spans="1:12" x14ac:dyDescent="0.2">
      <c r="A206" s="3">
        <v>45862</v>
      </c>
      <c r="B206" s="3" t="s">
        <v>18</v>
      </c>
      <c r="C206" s="3" t="s">
        <v>16</v>
      </c>
      <c r="D206" t="s">
        <v>0</v>
      </c>
      <c r="E206" s="1">
        <v>60</v>
      </c>
      <c r="F206" s="1">
        <v>115000</v>
      </c>
      <c r="G206" s="1">
        <f>Table1[[#This Row],[Volume]]*Table1[[#This Row],[Harga satuan pembelian]]</f>
        <v>6900000</v>
      </c>
      <c r="H206" s="1">
        <v>225000</v>
      </c>
      <c r="I206" s="1">
        <f>Table1[[#This Row],[Harga satuan penjualan]]*Table1[[#This Row],[Volume]]</f>
        <v>13500000</v>
      </c>
      <c r="J206" s="1">
        <f>Table1[[#This Row],[Total Penjualan]]-Table1[[#This Row],[Total pembelian]]</f>
        <v>6600000</v>
      </c>
      <c r="L206" s="2"/>
    </row>
    <row r="207" spans="1:12" x14ac:dyDescent="0.2">
      <c r="A207" s="3">
        <v>45863</v>
      </c>
      <c r="B207" s="3" t="s">
        <v>18</v>
      </c>
      <c r="C207" s="3" t="s">
        <v>16</v>
      </c>
      <c r="D207" t="s">
        <v>10</v>
      </c>
      <c r="E207" s="1">
        <v>70</v>
      </c>
      <c r="F207" s="1">
        <v>155000</v>
      </c>
      <c r="G207" s="1">
        <f>Table1[[#This Row],[Volume]]*Table1[[#This Row],[Harga satuan pembelian]]</f>
        <v>10850000</v>
      </c>
      <c r="H207" s="1">
        <v>210000</v>
      </c>
      <c r="I207" s="1">
        <f>Table1[[#This Row],[Harga satuan penjualan]]*Table1[[#This Row],[Volume]]</f>
        <v>14700000</v>
      </c>
      <c r="J207" s="1">
        <f>Table1[[#This Row],[Total Penjualan]]-Table1[[#This Row],[Total pembelian]]</f>
        <v>3850000</v>
      </c>
      <c r="L207" s="2"/>
    </row>
    <row r="208" spans="1:12" x14ac:dyDescent="0.2">
      <c r="A208" s="3">
        <v>45864</v>
      </c>
      <c r="B208" s="3" t="s">
        <v>18</v>
      </c>
      <c r="C208" s="3" t="s">
        <v>16</v>
      </c>
      <c r="D208" t="s">
        <v>2</v>
      </c>
      <c r="E208" s="1">
        <v>50</v>
      </c>
      <c r="F208" s="1">
        <v>155000</v>
      </c>
      <c r="G208" s="1">
        <f>Table1[[#This Row],[Volume]]*Table1[[#This Row],[Harga satuan pembelian]]</f>
        <v>7750000</v>
      </c>
      <c r="H208" s="1">
        <v>210000</v>
      </c>
      <c r="I208" s="1">
        <f>Table1[[#This Row],[Harga satuan penjualan]]*Table1[[#This Row],[Volume]]</f>
        <v>10500000</v>
      </c>
      <c r="J208" s="1">
        <f>Table1[[#This Row],[Total Penjualan]]-Table1[[#This Row],[Total pembelian]]</f>
        <v>2750000</v>
      </c>
      <c r="L208" s="2"/>
    </row>
    <row r="209" spans="1:12" x14ac:dyDescent="0.2">
      <c r="A209" s="3">
        <v>45865</v>
      </c>
      <c r="B209" s="3" t="s">
        <v>18</v>
      </c>
      <c r="C209" s="3" t="s">
        <v>16</v>
      </c>
      <c r="D209" t="s">
        <v>0</v>
      </c>
      <c r="E209" s="1">
        <v>50</v>
      </c>
      <c r="F209" s="1">
        <v>105000</v>
      </c>
      <c r="G209" s="1">
        <f>Table1[[#This Row],[Volume]]*Table1[[#This Row],[Harga satuan pembelian]]</f>
        <v>5250000</v>
      </c>
      <c r="H209" s="1">
        <v>225000</v>
      </c>
      <c r="I209" s="1">
        <f>Table1[[#This Row],[Harga satuan penjualan]]*Table1[[#This Row],[Volume]]</f>
        <v>11250000</v>
      </c>
      <c r="J209" s="1">
        <f>Table1[[#This Row],[Total Penjualan]]-Table1[[#This Row],[Total pembelian]]</f>
        <v>6000000</v>
      </c>
      <c r="L209" s="2"/>
    </row>
    <row r="210" spans="1:12" x14ac:dyDescent="0.2">
      <c r="A210" s="3">
        <v>45866</v>
      </c>
      <c r="B210" s="3" t="s">
        <v>18</v>
      </c>
      <c r="C210" s="3" t="s">
        <v>17</v>
      </c>
      <c r="D210" t="s">
        <v>10</v>
      </c>
      <c r="E210" s="1">
        <v>80</v>
      </c>
      <c r="F210" s="1">
        <v>155000</v>
      </c>
      <c r="G210" s="1">
        <f>Table1[[#This Row],[Volume]]*Table1[[#This Row],[Harga satuan pembelian]]</f>
        <v>12400000</v>
      </c>
      <c r="H210" s="1">
        <v>210000</v>
      </c>
      <c r="I210" s="1">
        <f>Table1[[#This Row],[Harga satuan penjualan]]*Table1[[#This Row],[Volume]]</f>
        <v>16800000</v>
      </c>
      <c r="J210" s="1">
        <f>Table1[[#This Row],[Total Penjualan]]-Table1[[#This Row],[Total pembelian]]</f>
        <v>4400000</v>
      </c>
      <c r="L210" s="2"/>
    </row>
    <row r="211" spans="1:12" x14ac:dyDescent="0.2">
      <c r="A211" s="3">
        <v>45867</v>
      </c>
      <c r="B211" s="3" t="s">
        <v>12</v>
      </c>
      <c r="C211" s="3" t="s">
        <v>17</v>
      </c>
      <c r="D211" t="s">
        <v>2</v>
      </c>
      <c r="E211" s="1">
        <v>70</v>
      </c>
      <c r="F211" s="1">
        <v>205000</v>
      </c>
      <c r="G211" s="1">
        <f>Table1[[#This Row],[Volume]]*Table1[[#This Row],[Harga satuan pembelian]]</f>
        <v>14350000</v>
      </c>
      <c r="H211" s="1">
        <v>210000</v>
      </c>
      <c r="I211" s="1">
        <f>Table1[[#This Row],[Harga satuan penjualan]]*Table1[[#This Row],[Volume]]</f>
        <v>14700000</v>
      </c>
      <c r="J211" s="1">
        <f>Table1[[#This Row],[Total Penjualan]]-Table1[[#This Row],[Total pembelian]]</f>
        <v>350000</v>
      </c>
      <c r="L211" s="2"/>
    </row>
    <row r="212" spans="1:12" x14ac:dyDescent="0.2">
      <c r="A212" s="3">
        <v>45868</v>
      </c>
      <c r="B212" s="3" t="s">
        <v>13</v>
      </c>
      <c r="C212" s="3" t="s">
        <v>17</v>
      </c>
      <c r="D212" t="s">
        <v>0</v>
      </c>
      <c r="E212" s="1">
        <v>60</v>
      </c>
      <c r="F212" s="1">
        <v>195000</v>
      </c>
      <c r="G212" s="1">
        <f>Table1[[#This Row],[Volume]]*Table1[[#This Row],[Harga satuan pembelian]]</f>
        <v>11700000</v>
      </c>
      <c r="H212" s="1">
        <v>225000</v>
      </c>
      <c r="I212" s="1">
        <f>Table1[[#This Row],[Harga satuan penjualan]]*Table1[[#This Row],[Volume]]</f>
        <v>13500000</v>
      </c>
      <c r="J212" s="1">
        <f>Table1[[#This Row],[Total Penjualan]]-Table1[[#This Row],[Total pembelian]]</f>
        <v>1800000</v>
      </c>
      <c r="L212" s="2"/>
    </row>
    <row r="213" spans="1:12" x14ac:dyDescent="0.2">
      <c r="A213" s="3">
        <v>45869</v>
      </c>
      <c r="B213" s="3" t="s">
        <v>13</v>
      </c>
      <c r="C213" s="3" t="s">
        <v>17</v>
      </c>
      <c r="D213" t="s">
        <v>10</v>
      </c>
      <c r="E213" s="1">
        <v>40</v>
      </c>
      <c r="F213" s="1">
        <v>125000</v>
      </c>
      <c r="G213" s="1">
        <f>Table1[[#This Row],[Volume]]*Table1[[#This Row],[Harga satuan pembelian]]</f>
        <v>5000000</v>
      </c>
      <c r="H213" s="1">
        <v>210000</v>
      </c>
      <c r="I213" s="1">
        <f>Table1[[#This Row],[Harga satuan penjualan]]*Table1[[#This Row],[Volume]]</f>
        <v>8400000</v>
      </c>
      <c r="J213" s="1">
        <f>Table1[[#This Row],[Total Penjualan]]-Table1[[#This Row],[Total pembelian]]</f>
        <v>3400000</v>
      </c>
      <c r="L213" s="2"/>
    </row>
  </sheetData>
  <conditionalFormatting sqref="A1:J213">
    <cfRule type="containsBlanks" dxfId="1" priority="1">
      <formula>LEN(TRIM(A1))=0</formula>
    </cfRule>
    <cfRule type="cellIs" dxfId="0" priority="2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Al Hakim</dc:creator>
  <cp:lastModifiedBy>Microsoft Office User</cp:lastModifiedBy>
  <cp:lastPrinted>2025-08-28T01:50:17Z</cp:lastPrinted>
  <dcterms:created xsi:type="dcterms:W3CDTF">2025-08-27T02:32:13Z</dcterms:created>
  <dcterms:modified xsi:type="dcterms:W3CDTF">2026-10-08T04:02:40Z</dcterms:modified>
</cp:coreProperties>
</file>