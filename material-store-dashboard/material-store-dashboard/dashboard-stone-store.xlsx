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yatimah/Downloads/Belajar Dashboard pivot chart/material-store-dashboard/"/>
    </mc:Choice>
  </mc:AlternateContent>
  <xr:revisionPtr revIDLastSave="0" documentId="13_ncr:1_{33707E36-26C3-BA4F-8814-7E42CDEAAA94}" xr6:coauthVersionLast="47" xr6:coauthVersionMax="47" xr10:uidLastSave="{00000000-0000-0000-0000-000000000000}"/>
  <bookViews>
    <workbookView xWindow="0" yWindow="600" windowWidth="28800" windowHeight="16160" xr2:uid="{867FB9DE-C9F9-49D9-BAA4-0D6237A2D030}"/>
  </bookViews>
  <sheets>
    <sheet name="Dashboard" sheetId="8" r:id="rId1"/>
  </sheets>
  <definedNames>
    <definedName name="NativeTimeline_Tanggal1">#N/A</definedName>
    <definedName name="Slicer_Material1">#N/A</definedName>
    <definedName name="Slicer_Sales1">#N/A</definedName>
    <definedName name="Slicer_Sumber_Material1">#N/A</definedName>
  </definedNames>
  <calcPr calcId="191029"/>
  <extLst>
    <ext xmlns:x14="http://schemas.microsoft.com/office/spreadsheetml/2009/9/main" uri="{876F7934-8845-4945-9796-88D515C7AA90}">
      <x14:pivotCaches>
        <pivotCache cacheId="86"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<sst xmlns="http://schemas.openxmlformats.org/spreadsheetml/2006/main" count="1" uniqueCount="1">
  <si>
    <t>DASHBOARD SALES MATERIAL 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</si>
</sst>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3" x14ac:knownFonts="1">
    <font>
      <sz val="11"/>
      <color theme="1"/>
      <name val="Calibri"/>
      <family val="2"/>
      <scheme val="minor"/>
    </font>
    <font>
      <b/>
      <sz val="11"/>
      <color theme="1"/>
      <name val="Calibri"/>
      <family val="2"/>
      <scheme val="minor"/>
    </font>
    <font>
      <b/>
      <sz val="48"/>
      <color theme="9" tint="-0.499984740745262"/>
      <name val="Calibri"/>
      <family val="2"/>
      <scheme val="minor"/>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1" fillId="3" borderId="0" xfId="0" applyFont="1" applyFill="1" applyAlignment="1">
      <alignment horizontal="center"/>
    </xf>
    <xf numFmtId="0" fontId="0" fillId="3" borderId="0" xfId="0" applyFill="1" applyAlignment="1">
      <alignment horizontal="center"/>
    </xf>
    <xf numFmtId="0" fontId="2" fillId="3" borderId="0" xfId="0" applyFont="1" applyFill="1" applyAlignment="1">
      <alignment horizontal="center" vertic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Laba</c:v>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invertIfNegative val="0"/>
          <c:cat>
            <c:strLit>
              <c:ptCount val="3"/>
              <c:pt idx="0">
                <c:v>Pasir</c:v>
              </c:pt>
              <c:pt idx="1">
                <c:v>Batu Kali</c:v>
              </c:pt>
              <c:pt idx="2">
                <c:v>Kerikil</c:v>
              </c:pt>
            </c:strLit>
          </c:cat>
          <c:val>
            <c:numLit>
              <c:formatCode>General</c:formatCode>
              <c:ptCount val="3"/>
              <c:pt idx="0">
                <c:v>325100000</c:v>
              </c:pt>
              <c:pt idx="1">
                <c:v>272550000</c:v>
              </c:pt>
              <c:pt idx="2">
                <c:v>278450000</c:v>
              </c:pt>
            </c:numLit>
          </c:val>
          <c:extLst>
            <c:ext xmlns:c16="http://schemas.microsoft.com/office/drawing/2014/chart" uri="{C3380CC4-5D6E-409C-BE32-E72D297353CC}">
              <c16:uniqueId val="{00000000-E6AE-B444-94D5-11B9087E802F}"/>
            </c:ext>
          </c:extLst>
        </c:ser>
        <c:ser>
          <c:idx val="1"/>
          <c:order val="1"/>
          <c:tx>
            <c:v>Pembelian</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Lit>
              <c:ptCount val="3"/>
              <c:pt idx="0">
                <c:v>Pasir</c:v>
              </c:pt>
              <c:pt idx="1">
                <c:v>Batu Kali</c:v>
              </c:pt>
              <c:pt idx="2">
                <c:v>Kerikil</c:v>
              </c:pt>
            </c:strLit>
          </c:cat>
          <c:val>
            <c:numLit>
              <c:formatCode>General</c:formatCode>
              <c:ptCount val="3"/>
              <c:pt idx="0">
                <c:v>714400000</c:v>
              </c:pt>
              <c:pt idx="1">
                <c:v>703950000</c:v>
              </c:pt>
              <c:pt idx="2">
                <c:v>643450000</c:v>
              </c:pt>
            </c:numLit>
          </c:val>
          <c:extLst>
            <c:ext xmlns:c16="http://schemas.microsoft.com/office/drawing/2014/chart" uri="{C3380CC4-5D6E-409C-BE32-E72D297353CC}">
              <c16:uniqueId val="{00000001-E6AE-B444-94D5-11B9087E802F}"/>
            </c:ext>
          </c:extLst>
        </c:ser>
        <c:ser>
          <c:idx val="2"/>
          <c:order val="2"/>
          <c:tx>
            <c:v>Penjualan</c:v>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invertIfNegative val="0"/>
          <c:cat>
            <c:strLit>
              <c:ptCount val="3"/>
              <c:pt idx="0">
                <c:v>Pasir</c:v>
              </c:pt>
              <c:pt idx="1">
                <c:v>Batu Kali</c:v>
              </c:pt>
              <c:pt idx="2">
                <c:v>Kerikil</c:v>
              </c:pt>
            </c:strLit>
          </c:cat>
          <c:val>
            <c:numLit>
              <c:formatCode>General</c:formatCode>
              <c:ptCount val="3"/>
              <c:pt idx="0">
                <c:v>1039500000</c:v>
              </c:pt>
              <c:pt idx="1">
                <c:v>976500000</c:v>
              </c:pt>
              <c:pt idx="2">
                <c:v>921900000</c:v>
              </c:pt>
            </c:numLit>
          </c:val>
          <c:extLst>
            <c:ext xmlns:c16="http://schemas.microsoft.com/office/drawing/2014/chart" uri="{C3380CC4-5D6E-409C-BE32-E72D297353CC}">
              <c16:uniqueId val="{00000002-E6AE-B444-94D5-11B9087E802F}"/>
            </c:ext>
          </c:extLst>
        </c:ser>
        <c:dLbls>
          <c:showLegendKey val="0"/>
          <c:showVal val="0"/>
          <c:showCatName val="0"/>
          <c:showSerName val="0"/>
          <c:showPercent val="0"/>
          <c:showBubbleSize val="0"/>
        </c:dLbls>
        <c:gapWidth val="100"/>
        <c:overlap val="-24"/>
        <c:axId val="196040383"/>
        <c:axId val="196041279"/>
      </c:barChart>
      <c:catAx>
        <c:axId val="196040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41279"/>
        <c:crosses val="autoZero"/>
        <c:auto val="1"/>
        <c:lblAlgn val="ctr"/>
        <c:lblOffset val="100"/>
        <c:noMultiLvlLbl val="0"/>
      </c:catAx>
      <c:valAx>
        <c:axId val="196041279"/>
        <c:scaling>
          <c:orientation val="minMax"/>
          <c:min val="100000000"/>
        </c:scaling>
        <c:delete val="0"/>
        <c:axPos val="l"/>
        <c:majorGridlines>
          <c:spPr>
            <a:ln w="9525" cap="flat" cmpd="sng" algn="ctr">
              <a:solidFill>
                <a:schemeClr val="tx2">
                  <a:lumMod val="15000"/>
                  <a:lumOff val="85000"/>
                </a:schemeClr>
              </a:solidFill>
              <a:round/>
            </a:ln>
            <a:effectLst/>
          </c:spPr>
        </c:majorGridlines>
        <c:numFmt formatCode="&quot;Rp&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40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40000"/>
          <a:lumOff val="6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Penjualan / Bulan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0-D699-3E4D-90FD-4CCCC56180E1}"/>
              </c:ext>
            </c:extLst>
          </c:dPt>
          <c:dPt>
            <c:idx val="2"/>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1-D699-3E4D-90FD-4CCCC56180E1}"/>
              </c:ext>
            </c:extLst>
          </c:dPt>
          <c:dPt>
            <c:idx val="3"/>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D699-3E4D-90FD-4CCCC56180E1}"/>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3-D699-3E4D-90FD-4CCCC56180E1}"/>
              </c:ext>
            </c:extLst>
          </c:dPt>
          <c:dPt>
            <c:idx val="5"/>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4-D699-3E4D-90FD-4CCCC56180E1}"/>
              </c:ext>
            </c:extLst>
          </c:dPt>
          <c:dPt>
            <c:idx val="6"/>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5-D699-3E4D-90FD-4CCCC56180E1}"/>
              </c:ext>
            </c:extLst>
          </c:dPt>
          <c:dLbls>
            <c:dLbl>
              <c:idx val="0"/>
              <c:layout>
                <c:manualLayout>
                  <c:x val="-6.6986118485597351E-2"/>
                  <c:y val="-5.3457277735920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99-3E4D-90FD-4CCCC56180E1}"/>
                </c:ext>
              </c:extLst>
            </c:dLbl>
            <c:dLbl>
              <c:idx val="2"/>
              <c:layout>
                <c:manualLayout>
                  <c:x val="-4.4634378383298673E-2"/>
                  <c:y val="5.1396169378407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99-3E4D-90FD-4CCCC56180E1}"/>
                </c:ext>
              </c:extLst>
            </c:dLbl>
            <c:dLbl>
              <c:idx val="3"/>
              <c:layout>
                <c:manualLayout>
                  <c:x val="-0.16423083756578433"/>
                  <c:y val="-4.2861135560926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99-3E4D-90FD-4CCCC56180E1}"/>
                </c:ext>
              </c:extLst>
            </c:dLbl>
            <c:dLbl>
              <c:idx val="4"/>
              <c:layout>
                <c:manualLayout>
                  <c:x val="-9.7541776027996505E-2"/>
                  <c:y val="-5.7916666666666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99-3E4D-90FD-4CCCC56180E1}"/>
                </c:ext>
              </c:extLst>
            </c:dLbl>
            <c:dLbl>
              <c:idx val="5"/>
              <c:layout>
                <c:manualLayout>
                  <c:x val="-0.10299393216346668"/>
                  <c:y val="4.4339138138067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99-3E4D-90FD-4CCCC56180E1}"/>
                </c:ext>
              </c:extLst>
            </c:dLbl>
            <c:dLbl>
              <c:idx val="6"/>
              <c:layout>
                <c:manualLayout>
                  <c:x val="0"/>
                  <c:y val="-3.476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99-3E4D-90FD-4CCCC56180E1}"/>
                </c:ext>
              </c:extLst>
            </c:dLbl>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7"/>
              <c:pt idx="0">
                <c:v>Jan</c:v>
              </c:pt>
              <c:pt idx="1">
                <c:v>Feb</c:v>
              </c:pt>
              <c:pt idx="2">
                <c:v>Mar</c:v>
              </c:pt>
              <c:pt idx="3">
                <c:v>Apr</c:v>
              </c:pt>
              <c:pt idx="4">
                <c:v>May</c:v>
              </c:pt>
              <c:pt idx="5">
                <c:v>Jun</c:v>
              </c:pt>
              <c:pt idx="6">
                <c:v>Jul</c:v>
              </c:pt>
            </c:strLit>
          </c:cat>
          <c:val>
            <c:numLit>
              <c:formatCode>General</c:formatCode>
              <c:ptCount val="7"/>
              <c:pt idx="0">
                <c:v>421950000</c:v>
              </c:pt>
              <c:pt idx="1">
                <c:v>367650000</c:v>
              </c:pt>
              <c:pt idx="2">
                <c:v>410100000</c:v>
              </c:pt>
              <c:pt idx="3">
                <c:v>439050000</c:v>
              </c:pt>
              <c:pt idx="4">
                <c:v>442050000</c:v>
              </c:pt>
              <c:pt idx="5">
                <c:v>417450000</c:v>
              </c:pt>
              <c:pt idx="6">
                <c:v>439650000</c:v>
              </c:pt>
            </c:numLit>
          </c:val>
          <c:smooth val="0"/>
          <c:extLst>
            <c:ext xmlns:c16="http://schemas.microsoft.com/office/drawing/2014/chart" uri="{C3380CC4-5D6E-409C-BE32-E72D297353CC}">
              <c16:uniqueId val="{00000006-D699-3E4D-90FD-4CCCC56180E1}"/>
            </c:ext>
          </c:extLst>
        </c:ser>
        <c:dLbls>
          <c:showLegendKey val="0"/>
          <c:showVal val="0"/>
          <c:showCatName val="0"/>
          <c:showSerName val="0"/>
          <c:showPercent val="0"/>
          <c:showBubbleSize val="0"/>
        </c:dLbls>
        <c:marker val="1"/>
        <c:smooth val="0"/>
        <c:axId val="161602111"/>
        <c:axId val="161772223"/>
      </c:lineChart>
      <c:catAx>
        <c:axId val="16160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2223"/>
        <c:crosses val="autoZero"/>
        <c:auto val="1"/>
        <c:lblAlgn val="ctr"/>
        <c:lblOffset val="100"/>
        <c:noMultiLvlLbl val="0"/>
      </c:catAx>
      <c:valAx>
        <c:axId val="161772223"/>
        <c:scaling>
          <c:orientation val="minMax"/>
          <c:min val="300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solidFill>
              </a:rPr>
              <a:t>Total Penjualan / Kategori</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Batu Kali</c:v>
              </c:pt>
              <c:pt idx="1">
                <c:v>Kerikil</c:v>
              </c:pt>
              <c:pt idx="2">
                <c:v>Pasir</c:v>
              </c:pt>
            </c:strLit>
          </c:cat>
          <c:val>
            <c:numLit>
              <c:formatCode>General</c:formatCode>
              <c:ptCount val="3"/>
              <c:pt idx="0">
                <c:v>976500000</c:v>
              </c:pt>
              <c:pt idx="1">
                <c:v>921900000</c:v>
              </c:pt>
              <c:pt idx="2">
                <c:v>1039500000</c:v>
              </c:pt>
            </c:numLit>
          </c:val>
          <c:extLst>
            <c:ext xmlns:c16="http://schemas.microsoft.com/office/drawing/2014/chart" uri="{C3380CC4-5D6E-409C-BE32-E72D297353CC}">
              <c16:uniqueId val="{00000000-17B9-9D41-A5C1-9359E17BFF79}"/>
            </c:ext>
          </c:extLst>
        </c:ser>
        <c:dLbls>
          <c:showLegendKey val="0"/>
          <c:showVal val="0"/>
          <c:showCatName val="0"/>
          <c:showSerName val="0"/>
          <c:showPercent val="0"/>
          <c:showBubbleSize val="0"/>
        </c:dLbls>
        <c:gapWidth val="100"/>
        <c:overlap val="-24"/>
        <c:axId val="280157183"/>
        <c:axId val="206066495"/>
      </c:barChart>
      <c:catAx>
        <c:axId val="28015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066495"/>
        <c:crosses val="autoZero"/>
        <c:auto val="1"/>
        <c:lblAlgn val="ctr"/>
        <c:lblOffset val="100"/>
        <c:noMultiLvlLbl val="0"/>
      </c:catAx>
      <c:valAx>
        <c:axId val="20606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015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40000"/>
          <a:lumOff val="6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solidFill>
              </a:rPr>
              <a:t>Total Volume / Kategori</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w="9525" cap="flat" cmpd="sng" algn="ctr">
            <a:solidFill>
              <a:schemeClr val="accent6">
                <a:lumMod val="7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20000"/>
                <a:lumOff val="80000"/>
              </a:schemeClr>
            </a:solidFill>
            <a:ln w="9525" cap="flat" cmpd="sng" algn="ctr">
              <a:solidFill>
                <a:schemeClr val="accent6">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Batu Kali</c:v>
              </c:pt>
              <c:pt idx="1">
                <c:v>Kerikil</c:v>
              </c:pt>
              <c:pt idx="2">
                <c:v>Pasir</c:v>
              </c:pt>
            </c:strLit>
          </c:cat>
          <c:val>
            <c:numLit>
              <c:formatCode>General</c:formatCode>
              <c:ptCount val="3"/>
              <c:pt idx="0">
                <c:v>4650</c:v>
              </c:pt>
              <c:pt idx="1">
                <c:v>4390</c:v>
              </c:pt>
              <c:pt idx="2">
                <c:v>4620</c:v>
              </c:pt>
            </c:numLit>
          </c:val>
          <c:extLst>
            <c:ext xmlns:c16="http://schemas.microsoft.com/office/drawing/2014/chart" uri="{C3380CC4-5D6E-409C-BE32-E72D297353CC}">
              <c16:uniqueId val="{00000000-4B16-E142-A590-6EF9863BAB93}"/>
            </c:ext>
          </c:extLst>
        </c:ser>
        <c:dLbls>
          <c:showLegendKey val="0"/>
          <c:showVal val="0"/>
          <c:showCatName val="0"/>
          <c:showSerName val="0"/>
          <c:showPercent val="0"/>
          <c:showBubbleSize val="0"/>
        </c:dLbls>
        <c:gapWidth val="100"/>
        <c:axId val="252579775"/>
        <c:axId val="213387007"/>
      </c:barChart>
      <c:catAx>
        <c:axId val="25257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387007"/>
        <c:crosses val="autoZero"/>
        <c:auto val="1"/>
        <c:lblAlgn val="ctr"/>
        <c:lblOffset val="100"/>
        <c:noMultiLvlLbl val="0"/>
      </c:catAx>
      <c:valAx>
        <c:axId val="21338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2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chemeClr val="tx1"/>
                </a:solidFill>
                <a:latin typeface="+mn-lt"/>
              </a:rPr>
              <a:t>Rata-rata Penjualan / Orang</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7107983183518"/>
                  <c:h val="0.15037656903765689"/>
                </c:manualLayout>
              </c15:layout>
            </c:ext>
          </c:extLst>
        </c:dLbl>
      </c:pivotFmt>
    </c:pivotFmts>
    <c:plotArea>
      <c:layout/>
      <c:barChart>
        <c:barDir val="col"/>
        <c:grouping val="clustered"/>
        <c:varyColors val="0"/>
        <c:ser>
          <c:idx val="0"/>
          <c:order val="0"/>
          <c:tx>
            <c:v>Total</c:v>
          </c:tx>
          <c:spPr>
            <a:solidFill>
              <a:schemeClr val="accent6">
                <a:alpha val="70000"/>
              </a:schemeClr>
            </a:solidFill>
            <a:ln>
              <a:noFill/>
            </a:ln>
            <a:effectLst/>
          </c:spPr>
          <c:invertIfNegative val="0"/>
          <c:dPt>
            <c:idx val="0"/>
            <c:invertIfNegative val="0"/>
            <c:bubble3D val="0"/>
            <c:extLst>
              <c:ext xmlns:c16="http://schemas.microsoft.com/office/drawing/2014/chart" uri="{C3380CC4-5D6E-409C-BE32-E72D297353CC}">
                <c16:uniqueId val="{00000001-BDB3-444B-8ADD-93905D45B20F}"/>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167107983183518"/>
                      <c:h val="0.15037656903765689"/>
                    </c:manualLayout>
                  </c15:layout>
                </c:ext>
                <c:ext xmlns:c16="http://schemas.microsoft.com/office/drawing/2014/chart" uri="{C3380CC4-5D6E-409C-BE32-E72D297353CC}">
                  <c16:uniqueId val="{00000001-BDB3-444B-8ADD-93905D45B2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Anto</c:v>
              </c:pt>
              <c:pt idx="1">
                <c:v>Rudi</c:v>
              </c:pt>
              <c:pt idx="2">
                <c:v>Tono</c:v>
              </c:pt>
            </c:strLit>
          </c:cat>
          <c:val>
            <c:numLit>
              <c:formatCode>General</c:formatCode>
              <c:ptCount val="3"/>
              <c:pt idx="0">
                <c:v>2040900000</c:v>
              </c:pt>
              <c:pt idx="1">
                <c:v>570750000</c:v>
              </c:pt>
              <c:pt idx="2">
                <c:v>326250000</c:v>
              </c:pt>
            </c:numLit>
          </c:val>
          <c:extLst>
            <c:ext xmlns:c16="http://schemas.microsoft.com/office/drawing/2014/chart" uri="{C3380CC4-5D6E-409C-BE32-E72D297353CC}">
              <c16:uniqueId val="{00000000-BDB3-444B-8ADD-93905D45B20F}"/>
            </c:ext>
          </c:extLst>
        </c:ser>
        <c:dLbls>
          <c:showLegendKey val="0"/>
          <c:showVal val="0"/>
          <c:showCatName val="0"/>
          <c:showSerName val="0"/>
          <c:showPercent val="0"/>
          <c:showBubbleSize val="0"/>
        </c:dLbls>
        <c:gapWidth val="37"/>
        <c:overlap val="25"/>
        <c:axId val="162170623"/>
        <c:axId val="208017087"/>
      </c:barChart>
      <c:catAx>
        <c:axId val="1621706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8017087"/>
        <c:crosses val="autoZero"/>
        <c:auto val="1"/>
        <c:lblAlgn val="ctr"/>
        <c:lblOffset val="100"/>
        <c:noMultiLvlLbl val="0"/>
      </c:catAx>
      <c:valAx>
        <c:axId val="208017087"/>
        <c:scaling>
          <c:orientation val="minMax"/>
          <c:min val="100000000"/>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217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lumMod val="40000"/>
          <a:lumOff val="60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596900</xdr:colOff>
      <xdr:row>3</xdr:row>
      <xdr:rowOff>76200</xdr:rowOff>
    </xdr:from>
    <xdr:to>
      <xdr:col>7</xdr:col>
      <xdr:colOff>660400</xdr:colOff>
      <xdr:row>7</xdr:row>
      <xdr:rowOff>0</xdr:rowOff>
    </xdr:to>
    <xdr:sp macro="" textlink="">
      <xdr:nvSpPr>
        <xdr:cNvPr id="19" name="Rounded Rectangle 18">
          <a:extLst>
            <a:ext uri="{FF2B5EF4-FFF2-40B4-BE49-F238E27FC236}">
              <a16:creationId xmlns:a16="http://schemas.microsoft.com/office/drawing/2014/main" id="{96C43D8F-7D5D-824A-8760-7E69F06B4155}"/>
            </a:ext>
          </a:extLst>
        </xdr:cNvPr>
        <xdr:cNvSpPr/>
      </xdr:nvSpPr>
      <xdr:spPr>
        <a:xfrm>
          <a:off x="45720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Total</a:t>
          </a:r>
          <a:r>
            <a:rPr lang="en-US" sz="1200" b="1" baseline="0"/>
            <a:t> Pembelian</a:t>
          </a:r>
          <a:endParaRPr lang="en-US" sz="1200" b="1"/>
        </a:p>
      </xdr:txBody>
    </xdr:sp>
    <xdr:clientData/>
  </xdr:twoCellAnchor>
  <xdr:twoCellAnchor>
    <xdr:from>
      <xdr:col>5</xdr:col>
      <xdr:colOff>431800</xdr:colOff>
      <xdr:row>7</xdr:row>
      <xdr:rowOff>114300</xdr:rowOff>
    </xdr:from>
    <xdr:to>
      <xdr:col>10</xdr:col>
      <xdr:colOff>723899</xdr:colOff>
      <xdr:row>22</xdr:row>
      <xdr:rowOff>22470</xdr:rowOff>
    </xdr:to>
    <xdr:graphicFrame macro="">
      <xdr:nvGraphicFramePr>
        <xdr:cNvPr id="2" name="Chart 1">
          <a:extLst>
            <a:ext uri="{FF2B5EF4-FFF2-40B4-BE49-F238E27FC236}">
              <a16:creationId xmlns:a16="http://schemas.microsoft.com/office/drawing/2014/main" id="{48E0BFAB-223A-534F-BB9E-734443600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22</xdr:row>
      <xdr:rowOff>152400</xdr:rowOff>
    </xdr:from>
    <xdr:to>
      <xdr:col>10</xdr:col>
      <xdr:colOff>711200</xdr:colOff>
      <xdr:row>38</xdr:row>
      <xdr:rowOff>152400</xdr:rowOff>
    </xdr:to>
    <xdr:graphicFrame macro="">
      <xdr:nvGraphicFramePr>
        <xdr:cNvPr id="3" name="Chart 2">
          <a:extLst>
            <a:ext uri="{FF2B5EF4-FFF2-40B4-BE49-F238E27FC236}">
              <a16:creationId xmlns:a16="http://schemas.microsoft.com/office/drawing/2014/main" id="{2214FA00-699B-3343-907D-385567770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850900</xdr:colOff>
      <xdr:row>7</xdr:row>
      <xdr:rowOff>101600</xdr:rowOff>
    </xdr:from>
    <xdr:to>
      <xdr:col>15</xdr:col>
      <xdr:colOff>749300</xdr:colOff>
      <xdr:row>22</xdr:row>
      <xdr:rowOff>22469</xdr:rowOff>
    </xdr:to>
    <xdr:graphicFrame macro="">
      <xdr:nvGraphicFramePr>
        <xdr:cNvPr id="4" name="Chart 3">
          <a:extLst>
            <a:ext uri="{FF2B5EF4-FFF2-40B4-BE49-F238E27FC236}">
              <a16:creationId xmlns:a16="http://schemas.microsoft.com/office/drawing/2014/main" id="{770BE8C3-1BFA-D649-BADC-7D92E47F6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29</xdr:row>
      <xdr:rowOff>98669</xdr:rowOff>
    </xdr:from>
    <xdr:to>
      <xdr:col>5</xdr:col>
      <xdr:colOff>317500</xdr:colOff>
      <xdr:row>38</xdr:row>
      <xdr:rowOff>166565</xdr:rowOff>
    </xdr:to>
    <xdr:graphicFrame macro="">
      <xdr:nvGraphicFramePr>
        <xdr:cNvPr id="5" name="Chart 4">
          <a:extLst>
            <a:ext uri="{FF2B5EF4-FFF2-40B4-BE49-F238E27FC236}">
              <a16:creationId xmlns:a16="http://schemas.microsoft.com/office/drawing/2014/main" id="{F0F28264-693E-A548-987C-681C72242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869950</xdr:colOff>
      <xdr:row>22</xdr:row>
      <xdr:rowOff>165100</xdr:rowOff>
    </xdr:from>
    <xdr:to>
      <xdr:col>15</xdr:col>
      <xdr:colOff>742950</xdr:colOff>
      <xdr:row>38</xdr:row>
      <xdr:rowOff>152400</xdr:rowOff>
    </xdr:to>
    <xdr:graphicFrame macro="">
      <xdr:nvGraphicFramePr>
        <xdr:cNvPr id="6" name="Chart 5">
          <a:extLst>
            <a:ext uri="{FF2B5EF4-FFF2-40B4-BE49-F238E27FC236}">
              <a16:creationId xmlns:a16="http://schemas.microsoft.com/office/drawing/2014/main" id="{44E9C6F6-274D-C64D-8FE9-2FF236C03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xdr:row>
      <xdr:rowOff>76200</xdr:rowOff>
    </xdr:from>
    <xdr:to>
      <xdr:col>4</xdr:col>
      <xdr:colOff>63500</xdr:colOff>
      <xdr:row>7</xdr:row>
      <xdr:rowOff>0</xdr:rowOff>
    </xdr:to>
    <xdr:sp macro="" textlink="">
      <xdr:nvSpPr>
        <xdr:cNvPr id="8" name="Rounded Rectangle 7">
          <a:extLst>
            <a:ext uri="{FF2B5EF4-FFF2-40B4-BE49-F238E27FC236}">
              <a16:creationId xmlns:a16="http://schemas.microsoft.com/office/drawing/2014/main" id="{3A211635-FAA5-0300-C2DE-A19548A58EE6}"/>
            </a:ext>
          </a:extLst>
        </xdr:cNvPr>
        <xdr:cNvSpPr/>
      </xdr:nvSpPr>
      <xdr:spPr>
        <a:xfrm>
          <a:off x="13208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Total</a:t>
          </a:r>
          <a:r>
            <a:rPr lang="en-US" sz="1200" b="1" baseline="0"/>
            <a:t> Penjualan</a:t>
          </a:r>
          <a:endParaRPr lang="en-US" sz="1200" b="1"/>
        </a:p>
      </xdr:txBody>
    </xdr:sp>
    <xdr:clientData/>
  </xdr:twoCellAnchor>
  <xdr:twoCellAnchor>
    <xdr:from>
      <xdr:col>2</xdr:col>
      <xdr:colOff>63500</xdr:colOff>
      <xdr:row>4</xdr:row>
      <xdr:rowOff>139700</xdr:rowOff>
    </xdr:from>
    <xdr:to>
      <xdr:col>4</xdr:col>
      <xdr:colOff>12700</xdr:colOff>
      <xdr:row>6</xdr:row>
      <xdr:rowOff>12700</xdr:rowOff>
    </xdr:to>
    <xdr:sp macro="" textlink="#REF!">
      <xdr:nvSpPr>
        <xdr:cNvPr id="12" name="TextBox 11">
          <a:extLst>
            <a:ext uri="{FF2B5EF4-FFF2-40B4-BE49-F238E27FC236}">
              <a16:creationId xmlns:a16="http://schemas.microsoft.com/office/drawing/2014/main" id="{A81BD58A-A4AB-D9F0-7FEE-A983DC6B5F11}"/>
            </a:ext>
          </a:extLst>
        </xdr:cNvPr>
        <xdr:cNvSpPr txBox="1"/>
      </xdr:nvSpPr>
      <xdr:spPr>
        <a:xfrm>
          <a:off x="1384300" y="1638300"/>
          <a:ext cx="17526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E49D53-B8FD-7442-B8D2-35846C5667AD}" type="TxLink">
            <a:rPr lang="en-US" sz="1600" b="1" i="0" u="none" strike="noStrike">
              <a:solidFill>
                <a:schemeClr val="accent6">
                  <a:lumMod val="50000"/>
                </a:schemeClr>
              </a:solidFill>
              <a:latin typeface="Calibri"/>
              <a:cs typeface="Calibri"/>
            </a:rPr>
            <a:pPr algn="ctr"/>
            <a:t> Rp2.937.900.000 </a:t>
          </a:fld>
          <a:endParaRPr lang="en-US" sz="1600" b="1">
            <a:solidFill>
              <a:schemeClr val="accent6">
                <a:lumMod val="50000"/>
              </a:schemeClr>
            </a:solidFill>
          </a:endParaRPr>
        </a:p>
      </xdr:txBody>
    </xdr:sp>
    <xdr:clientData/>
  </xdr:twoCellAnchor>
  <xdr:twoCellAnchor>
    <xdr:from>
      <xdr:col>5</xdr:col>
      <xdr:colOff>635000</xdr:colOff>
      <xdr:row>4</xdr:row>
      <xdr:rowOff>139700</xdr:rowOff>
    </xdr:from>
    <xdr:to>
      <xdr:col>7</xdr:col>
      <xdr:colOff>558800</xdr:colOff>
      <xdr:row>6</xdr:row>
      <xdr:rowOff>114300</xdr:rowOff>
    </xdr:to>
    <xdr:sp macro="" textlink="#REF!">
      <xdr:nvSpPr>
        <xdr:cNvPr id="14" name="TextBox 13">
          <a:extLst>
            <a:ext uri="{FF2B5EF4-FFF2-40B4-BE49-F238E27FC236}">
              <a16:creationId xmlns:a16="http://schemas.microsoft.com/office/drawing/2014/main" id="{33B0574E-B38F-F14C-B5F3-5DADCE844B40}"/>
            </a:ext>
          </a:extLst>
        </xdr:cNvPr>
        <xdr:cNvSpPr txBox="1"/>
      </xdr:nvSpPr>
      <xdr:spPr>
        <a:xfrm>
          <a:off x="4610100" y="1638300"/>
          <a:ext cx="17272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D7C170-E592-BE41-A016-F57652664611}" type="TxLink">
            <a:rPr lang="en-US" sz="1600" b="1" i="0" u="none" strike="noStrike">
              <a:solidFill>
                <a:schemeClr val="accent6">
                  <a:lumMod val="50000"/>
                </a:schemeClr>
              </a:solidFill>
              <a:latin typeface="Calibri"/>
              <a:cs typeface="Calibri"/>
            </a:rPr>
            <a:pPr algn="ctr"/>
            <a:t> Rp2.061.800.000 </a:t>
          </a:fld>
          <a:endParaRPr lang="en-US" sz="1600" b="1">
            <a:solidFill>
              <a:schemeClr val="accent6">
                <a:lumMod val="50000"/>
              </a:schemeClr>
            </a:solidFill>
          </a:endParaRPr>
        </a:p>
      </xdr:txBody>
    </xdr:sp>
    <xdr:clientData/>
  </xdr:twoCellAnchor>
  <xdr:twoCellAnchor editAs="oneCell">
    <xdr:from>
      <xdr:col>1</xdr:col>
      <xdr:colOff>12700</xdr:colOff>
      <xdr:row>22</xdr:row>
      <xdr:rowOff>152401</xdr:rowOff>
    </xdr:from>
    <xdr:to>
      <xdr:col>5</xdr:col>
      <xdr:colOff>317500</xdr:colOff>
      <xdr:row>29</xdr:row>
      <xdr:rowOff>25401</xdr:rowOff>
    </xdr:to>
    <mc:AlternateContent xmlns:mc="http://schemas.openxmlformats.org/markup-compatibility/2006" xmlns:a14="http://schemas.microsoft.com/office/drawing/2010/main">
      <mc:Choice Requires="a14">
        <xdr:graphicFrame macro="">
          <xdr:nvGraphicFramePr>
            <xdr:cNvPr id="15" name="Sumber Material 1">
              <a:extLst>
                <a:ext uri="{FF2B5EF4-FFF2-40B4-BE49-F238E27FC236}">
                  <a16:creationId xmlns:a16="http://schemas.microsoft.com/office/drawing/2014/main" id="{669F6AAF-71F7-72D8-60FF-E3D63EDEDCF1}"/>
                </a:ext>
              </a:extLst>
            </xdr:cNvPr>
            <xdr:cNvGraphicFramePr/>
          </xdr:nvGraphicFramePr>
          <xdr:xfrm>
            <a:off x="0" y="0"/>
            <a:ext cx="0" cy="0"/>
          </xdr:xfrm>
          <a:graphic>
            <a:graphicData uri="http://schemas.microsoft.com/office/drawing/2010/slicer">
              <sle:slicer xmlns:sle="http://schemas.microsoft.com/office/drawing/2010/slicer" name="Sumber Material 1"/>
            </a:graphicData>
          </a:graphic>
        </xdr:graphicFrame>
      </mc:Choice>
      <mc:Fallback xmlns="">
        <xdr:sp macro="" textlink="">
          <xdr:nvSpPr>
            <xdr:cNvPr id="0" name=""/>
            <xdr:cNvSpPr>
              <a:spLocks noTextEdit="1"/>
            </xdr:cNvSpPr>
          </xdr:nvSpPr>
          <xdr:spPr>
            <a:xfrm>
              <a:off x="508000" y="5080001"/>
              <a:ext cx="37846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15</xdr:row>
      <xdr:rowOff>0</xdr:rowOff>
    </xdr:from>
    <xdr:to>
      <xdr:col>5</xdr:col>
      <xdr:colOff>304800</xdr:colOff>
      <xdr:row>22</xdr:row>
      <xdr:rowOff>2351</xdr:rowOff>
    </xdr:to>
    <mc:AlternateContent xmlns:mc="http://schemas.openxmlformats.org/markup-compatibility/2006" xmlns:a14="http://schemas.microsoft.com/office/drawing/2010/main">
      <mc:Choice Requires="a14">
        <xdr:graphicFrame macro="">
          <xdr:nvGraphicFramePr>
            <xdr:cNvPr id="16" name="Sales 1">
              <a:extLst>
                <a:ext uri="{FF2B5EF4-FFF2-40B4-BE49-F238E27FC236}">
                  <a16:creationId xmlns:a16="http://schemas.microsoft.com/office/drawing/2014/main" id="{5CCB5B63-E709-C4A3-958C-27F5D84DCC8B}"/>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2451100" y="3594100"/>
              <a:ext cx="1828800" cy="133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15</xdr:row>
      <xdr:rowOff>0</xdr:rowOff>
    </xdr:from>
    <xdr:to>
      <xdr:col>3</xdr:col>
      <xdr:colOff>38100</xdr:colOff>
      <xdr:row>22</xdr:row>
      <xdr:rowOff>12699</xdr:rowOff>
    </xdr:to>
    <mc:AlternateContent xmlns:mc="http://schemas.openxmlformats.org/markup-compatibility/2006" xmlns:a14="http://schemas.microsoft.com/office/drawing/2010/main">
      <mc:Choice Requires="a14">
        <xdr:graphicFrame macro="">
          <xdr:nvGraphicFramePr>
            <xdr:cNvPr id="17" name="Material 1">
              <a:extLst>
                <a:ext uri="{FF2B5EF4-FFF2-40B4-BE49-F238E27FC236}">
                  <a16:creationId xmlns:a16="http://schemas.microsoft.com/office/drawing/2014/main" id="{6F80C889-1428-4AAA-D81B-54B392B3305F}"/>
                </a:ext>
              </a:extLst>
            </xdr:cNvPr>
            <xdr:cNvGraphicFramePr/>
          </xdr:nvGraphicFramePr>
          <xdr:xfrm>
            <a:off x="0" y="0"/>
            <a:ext cx="0" cy="0"/>
          </xdr:xfrm>
          <a:graphic>
            <a:graphicData uri="http://schemas.microsoft.com/office/drawing/2010/slicer">
              <sle:slicer xmlns:sle="http://schemas.microsoft.com/office/drawing/2010/slicer" name="Material 1"/>
            </a:graphicData>
          </a:graphic>
        </xdr:graphicFrame>
      </mc:Choice>
      <mc:Fallback xmlns="">
        <xdr:sp macro="" textlink="">
          <xdr:nvSpPr>
            <xdr:cNvPr id="0" name=""/>
            <xdr:cNvSpPr>
              <a:spLocks noTextEdit="1"/>
            </xdr:cNvSpPr>
          </xdr:nvSpPr>
          <xdr:spPr>
            <a:xfrm>
              <a:off x="508000" y="3594100"/>
              <a:ext cx="1828800" cy="134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7</xdr:row>
      <xdr:rowOff>101600</xdr:rowOff>
    </xdr:from>
    <xdr:to>
      <xdr:col>5</xdr:col>
      <xdr:colOff>304800</xdr:colOff>
      <xdr:row>14</xdr:row>
      <xdr:rowOff>88900</xdr:rowOff>
    </xdr:to>
    <mc:AlternateContent xmlns:mc="http://schemas.openxmlformats.org/markup-compatibility/2006" xmlns:tsle="http://schemas.microsoft.com/office/drawing/2012/timeslicer">
      <mc:Choice Requires="tsle">
        <xdr:graphicFrame macro="">
          <xdr:nvGraphicFramePr>
            <xdr:cNvPr id="18" name="Tanggal 1">
              <a:extLst>
                <a:ext uri="{FF2B5EF4-FFF2-40B4-BE49-F238E27FC236}">
                  <a16:creationId xmlns:a16="http://schemas.microsoft.com/office/drawing/2014/main" id="{35A9E204-4206-1E55-A438-C350E93A1115}"/>
                </a:ext>
              </a:extLst>
            </xdr:cNvPr>
            <xdr:cNvGraphicFramePr/>
          </xdr:nvGraphicFramePr>
          <xdr:xfrm>
            <a:off x="0" y="0"/>
            <a:ext cx="0" cy="0"/>
          </xdr:xfrm>
          <a:graphic>
            <a:graphicData uri="http://schemas.microsoft.com/office/drawing/2012/timeslicer">
              <tsle:timeslicer name="Tanggal 1"/>
            </a:graphicData>
          </a:graphic>
        </xdr:graphicFrame>
      </mc:Choice>
      <mc:Fallback xmlns="">
        <xdr:sp macro="" textlink="">
          <xdr:nvSpPr>
            <xdr:cNvPr id="0" name=""/>
            <xdr:cNvSpPr>
              <a:spLocks noTextEdit="1"/>
            </xdr:cNvSpPr>
          </xdr:nvSpPr>
          <xdr:spPr>
            <a:xfrm>
              <a:off x="508000" y="2171700"/>
              <a:ext cx="37719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469900</xdr:colOff>
      <xdr:row>3</xdr:row>
      <xdr:rowOff>76200</xdr:rowOff>
    </xdr:from>
    <xdr:to>
      <xdr:col>11</xdr:col>
      <xdr:colOff>381000</xdr:colOff>
      <xdr:row>7</xdr:row>
      <xdr:rowOff>0</xdr:rowOff>
    </xdr:to>
    <xdr:sp macro="" textlink="">
      <xdr:nvSpPr>
        <xdr:cNvPr id="20" name="Rounded Rectangle 19">
          <a:extLst>
            <a:ext uri="{FF2B5EF4-FFF2-40B4-BE49-F238E27FC236}">
              <a16:creationId xmlns:a16="http://schemas.microsoft.com/office/drawing/2014/main" id="{7613D6F7-74C9-BC4E-8FF5-6E825E905B3F}"/>
            </a:ext>
          </a:extLst>
        </xdr:cNvPr>
        <xdr:cNvSpPr/>
      </xdr:nvSpPr>
      <xdr:spPr>
        <a:xfrm>
          <a:off x="79629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Kuantitas</a:t>
          </a:r>
          <a:r>
            <a:rPr lang="en-US" sz="1200" b="1" baseline="0"/>
            <a:t> Pesanan</a:t>
          </a:r>
          <a:endParaRPr lang="en-US" sz="1200" b="1"/>
        </a:p>
      </xdr:txBody>
    </xdr:sp>
    <xdr:clientData/>
  </xdr:twoCellAnchor>
  <xdr:twoCellAnchor>
    <xdr:from>
      <xdr:col>9</xdr:col>
      <xdr:colOff>533400</xdr:colOff>
      <xdr:row>4</xdr:row>
      <xdr:rowOff>139700</xdr:rowOff>
    </xdr:from>
    <xdr:to>
      <xdr:col>11</xdr:col>
      <xdr:colOff>330200</xdr:colOff>
      <xdr:row>6</xdr:row>
      <xdr:rowOff>12700</xdr:rowOff>
    </xdr:to>
    <xdr:sp macro="" textlink="#REF!">
      <xdr:nvSpPr>
        <xdr:cNvPr id="21" name="TextBox 20">
          <a:extLst>
            <a:ext uri="{FF2B5EF4-FFF2-40B4-BE49-F238E27FC236}">
              <a16:creationId xmlns:a16="http://schemas.microsoft.com/office/drawing/2014/main" id="{64D92B67-6744-A549-AE17-6CB803A0BCB5}"/>
            </a:ext>
          </a:extLst>
        </xdr:cNvPr>
        <xdr:cNvSpPr txBox="1"/>
      </xdr:nvSpPr>
      <xdr:spPr>
        <a:xfrm>
          <a:off x="8026400" y="1638300"/>
          <a:ext cx="17526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059B95-EA16-9642-9C3A-6A8675190B9A}" type="TxLink">
            <a:rPr lang="en-US" sz="1600" b="1" i="0" u="none" strike="noStrike">
              <a:solidFill>
                <a:schemeClr val="accent6">
                  <a:lumMod val="50000"/>
                </a:schemeClr>
              </a:solidFill>
              <a:latin typeface="Calibri"/>
              <a:cs typeface="Calibri"/>
            </a:rPr>
            <a:pPr algn="ctr"/>
            <a:t>13660</a:t>
          </a:fld>
          <a:endParaRPr lang="en-US" sz="1600" b="1">
            <a:solidFill>
              <a:schemeClr val="accent6">
                <a:lumMod val="50000"/>
              </a:schemeClr>
            </a:solidFill>
          </a:endParaRPr>
        </a:p>
      </xdr:txBody>
    </xdr:sp>
    <xdr:clientData/>
  </xdr:twoCellAnchor>
  <xdr:twoCellAnchor>
    <xdr:from>
      <xdr:col>12</xdr:col>
      <xdr:colOff>622300</xdr:colOff>
      <xdr:row>3</xdr:row>
      <xdr:rowOff>76200</xdr:rowOff>
    </xdr:from>
    <xdr:to>
      <xdr:col>15</xdr:col>
      <xdr:colOff>12700</xdr:colOff>
      <xdr:row>7</xdr:row>
      <xdr:rowOff>0</xdr:rowOff>
    </xdr:to>
    <xdr:sp macro="" textlink="">
      <xdr:nvSpPr>
        <xdr:cNvPr id="22" name="Rounded Rectangle 21">
          <a:extLst>
            <a:ext uri="{FF2B5EF4-FFF2-40B4-BE49-F238E27FC236}">
              <a16:creationId xmlns:a16="http://schemas.microsoft.com/office/drawing/2014/main" id="{218151DC-3FCF-8144-BE79-07495780FD9F}"/>
            </a:ext>
          </a:extLst>
        </xdr:cNvPr>
        <xdr:cNvSpPr/>
      </xdr:nvSpPr>
      <xdr:spPr>
        <a:xfrm>
          <a:off x="108966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Laba</a:t>
          </a:r>
        </a:p>
      </xdr:txBody>
    </xdr:sp>
    <xdr:clientData/>
  </xdr:twoCellAnchor>
  <xdr:twoCellAnchor>
    <xdr:from>
      <xdr:col>12</xdr:col>
      <xdr:colOff>685800</xdr:colOff>
      <xdr:row>4</xdr:row>
      <xdr:rowOff>139700</xdr:rowOff>
    </xdr:from>
    <xdr:to>
      <xdr:col>14</xdr:col>
      <xdr:colOff>787400</xdr:colOff>
      <xdr:row>6</xdr:row>
      <xdr:rowOff>12700</xdr:rowOff>
    </xdr:to>
    <xdr:sp macro="" textlink="#REF!">
      <xdr:nvSpPr>
        <xdr:cNvPr id="23" name="TextBox 22">
          <a:extLst>
            <a:ext uri="{FF2B5EF4-FFF2-40B4-BE49-F238E27FC236}">
              <a16:creationId xmlns:a16="http://schemas.microsoft.com/office/drawing/2014/main" id="{EC9B4B42-DB72-674E-AC13-3CF0E39B95D9}"/>
            </a:ext>
          </a:extLst>
        </xdr:cNvPr>
        <xdr:cNvSpPr txBox="1"/>
      </xdr:nvSpPr>
      <xdr:spPr>
        <a:xfrm>
          <a:off x="10960100" y="1638300"/>
          <a:ext cx="17526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C67D9B-1A1E-3C46-BD3C-0D6B2E310F49}" type="TxLink">
            <a:rPr lang="en-US" sz="1600" b="1" i="0" u="none" strike="noStrike">
              <a:solidFill>
                <a:schemeClr val="accent6">
                  <a:lumMod val="50000"/>
                </a:schemeClr>
              </a:solidFill>
              <a:latin typeface="Calibri"/>
              <a:cs typeface="Calibri"/>
            </a:rPr>
            <a:pPr algn="ctr"/>
            <a:t> Rp876.100.000 </a:t>
          </a:fld>
          <a:endParaRPr lang="en-US" sz="1600" b="1">
            <a:solidFill>
              <a:schemeClr val="accent6">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303.034566898146" createdVersion="8" refreshedVersion="8" minRefreshableVersion="3" recordCount="213" xr:uid="{685175D3-8ECF-B142-BF7B-DC533AEC2415}">
  <cacheSource type="worksheet">
    <worksheetSource ref="A1:J1048576" sheet="Data"/>
  </cacheSource>
  <cacheFields count="12">
    <cacheField name="Tanggal" numFmtId="0">
      <sharedItems containsNonDate="0" containsDate="1" containsString="0" containsBlank="1" minDate="2025-01-01T00:00:00" maxDate="2025-08-01T00:00:00" count="213">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m/>
      </sharedItems>
      <fieldGroup par="11"/>
    </cacheField>
    <cacheField name="Sales" numFmtId="0">
      <sharedItems containsBlank="1" count="4">
        <s v="Anto"/>
        <s v="Tono"/>
        <s v="Rudi"/>
        <m/>
      </sharedItems>
    </cacheField>
    <cacheField name="Sumber Material" numFmtId="0">
      <sharedItems containsBlank="1" count="4">
        <s v="Gunung Merapi"/>
        <s v="Magelang"/>
        <s v="Temanggung"/>
        <m/>
      </sharedItems>
    </cacheField>
    <cacheField name="Material" numFmtId="0">
      <sharedItems containsBlank="1" count="4">
        <s v="Pasir"/>
        <s v="Batu Kali"/>
        <s v="Kerikil"/>
        <m/>
      </sharedItems>
    </cacheField>
    <cacheField name="Volume" numFmtId="41">
      <sharedItems containsString="0" containsBlank="1" containsNumber="1" containsInteger="1" minValue="40" maxValue="90"/>
    </cacheField>
    <cacheField name="Harga satuan pembelian" numFmtId="41">
      <sharedItems containsString="0" containsBlank="1" containsNumber="1" containsInteger="1" minValue="85000" maxValue="215000"/>
    </cacheField>
    <cacheField name="Total pembelian" numFmtId="41">
      <sharedItems containsString="0" containsBlank="1" containsNumber="1" containsInteger="1" minValue="3800000" maxValue="19350000"/>
    </cacheField>
    <cacheField name="Harga satuan penjualan" numFmtId="41">
      <sharedItems containsString="0" containsBlank="1" containsNumber="1" containsInteger="1" minValue="210000" maxValue="225000"/>
    </cacheField>
    <cacheField name="Total Penjualan" numFmtId="41">
      <sharedItems containsString="0" containsBlank="1" containsNumber="1" containsInteger="1" minValue="8400000" maxValue="20250000"/>
    </cacheField>
    <cacheField name="Laba" numFmtId="41">
      <sharedItems containsString="0" containsBlank="1" containsNumber="1" containsInteger="1" minValue="-450000" maxValue="10800000"/>
    </cacheField>
    <cacheField name="Days (Tanggal)" numFmtId="0" databaseField="0">
      <fieldGroup base="0">
        <rangePr groupBy="days" startDate="2025-01-01T00:00:00" endDate="2025-08-01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5"/>
        </groupItems>
      </fieldGroup>
    </cacheField>
    <cacheField name="Months (Tanggal)" numFmtId="0" databaseField="0">
      <fieldGroup base="0">
        <rangePr groupBy="months" startDate="2025-01-01T00:00:00" endDate="2025-08-01T00:00:00"/>
        <groupItems count="14">
          <s v="&lt;01/01/25"/>
          <s v="Jan"/>
          <s v="Feb"/>
          <s v="Mar"/>
          <s v="Apr"/>
          <s v="May"/>
          <s v="Jun"/>
          <s v="Jul"/>
          <s v="Aug"/>
          <s v="Sep"/>
          <s v="Oct"/>
          <s v="Nov"/>
          <s v="Dec"/>
          <s v="&gt;01/08/25"/>
        </groupItems>
      </fieldGroup>
    </cacheField>
  </cacheFields>
  <extLst>
    <ext xmlns:x14="http://schemas.microsoft.com/office/spreadsheetml/2009/9/main" uri="{725AE2AE-9491-48be-B2B4-4EB974FC3084}">
      <x14:pivotCacheDefinition pivotCacheId="1482829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x v="0"/>
    <n v="80"/>
    <n v="195000"/>
    <n v="15600000"/>
    <n v="225000"/>
    <n v="18000000"/>
    <n v="2400000"/>
  </r>
  <r>
    <x v="1"/>
    <x v="0"/>
    <x v="0"/>
    <x v="1"/>
    <n v="50"/>
    <n v="115000"/>
    <n v="5750000"/>
    <n v="210000"/>
    <n v="10500000"/>
    <n v="4750000"/>
  </r>
  <r>
    <x v="2"/>
    <x v="0"/>
    <x v="0"/>
    <x v="2"/>
    <n v="60"/>
    <n v="135000"/>
    <n v="8100000"/>
    <n v="210000"/>
    <n v="12600000"/>
    <n v="4500000"/>
  </r>
  <r>
    <x v="3"/>
    <x v="0"/>
    <x v="0"/>
    <x v="0"/>
    <n v="50"/>
    <n v="145000"/>
    <n v="7250000"/>
    <n v="225000"/>
    <n v="11250000"/>
    <n v="4000000"/>
  </r>
  <r>
    <x v="4"/>
    <x v="0"/>
    <x v="0"/>
    <x v="1"/>
    <n v="80"/>
    <n v="155000"/>
    <n v="12400000"/>
    <n v="210000"/>
    <n v="16800000"/>
    <n v="4400000"/>
  </r>
  <r>
    <x v="5"/>
    <x v="0"/>
    <x v="0"/>
    <x v="2"/>
    <n v="80"/>
    <n v="85000"/>
    <n v="6800000"/>
    <n v="210000"/>
    <n v="16800000"/>
    <n v="10000000"/>
  </r>
  <r>
    <x v="6"/>
    <x v="0"/>
    <x v="0"/>
    <x v="0"/>
    <n v="60"/>
    <n v="165000"/>
    <n v="9900000"/>
    <n v="225000"/>
    <n v="13500000"/>
    <n v="3600000"/>
  </r>
  <r>
    <x v="7"/>
    <x v="1"/>
    <x v="0"/>
    <x v="1"/>
    <n v="40"/>
    <n v="145000"/>
    <n v="5800000"/>
    <n v="210000"/>
    <n v="8400000"/>
    <n v="2600000"/>
  </r>
  <r>
    <x v="8"/>
    <x v="2"/>
    <x v="0"/>
    <x v="2"/>
    <n v="40"/>
    <n v="115000"/>
    <n v="4600000"/>
    <n v="210000"/>
    <n v="8400000"/>
    <n v="3800000"/>
  </r>
  <r>
    <x v="9"/>
    <x v="2"/>
    <x v="0"/>
    <x v="0"/>
    <n v="80"/>
    <n v="95000"/>
    <n v="7600000"/>
    <n v="225000"/>
    <n v="18000000"/>
    <n v="10400000"/>
  </r>
  <r>
    <x v="10"/>
    <x v="0"/>
    <x v="0"/>
    <x v="1"/>
    <n v="80"/>
    <n v="95000"/>
    <n v="7600000"/>
    <n v="210000"/>
    <n v="16800000"/>
    <n v="9200000"/>
  </r>
  <r>
    <x v="11"/>
    <x v="0"/>
    <x v="0"/>
    <x v="2"/>
    <n v="70"/>
    <n v="125000"/>
    <n v="8750000"/>
    <n v="210000"/>
    <n v="14700000"/>
    <n v="5950000"/>
  </r>
  <r>
    <x v="12"/>
    <x v="0"/>
    <x v="1"/>
    <x v="0"/>
    <n v="50"/>
    <n v="185000"/>
    <n v="9250000"/>
    <n v="225000"/>
    <n v="11250000"/>
    <n v="2000000"/>
  </r>
  <r>
    <x v="13"/>
    <x v="0"/>
    <x v="1"/>
    <x v="1"/>
    <n v="50"/>
    <n v="155000"/>
    <n v="7750000"/>
    <n v="210000"/>
    <n v="10500000"/>
    <n v="2750000"/>
  </r>
  <r>
    <x v="14"/>
    <x v="0"/>
    <x v="1"/>
    <x v="2"/>
    <n v="80"/>
    <n v="105000"/>
    <n v="8400000"/>
    <n v="210000"/>
    <n v="16800000"/>
    <n v="8400000"/>
  </r>
  <r>
    <x v="15"/>
    <x v="0"/>
    <x v="1"/>
    <x v="0"/>
    <n v="50"/>
    <n v="195000"/>
    <n v="9750000"/>
    <n v="225000"/>
    <n v="11250000"/>
    <n v="1500000"/>
  </r>
  <r>
    <x v="16"/>
    <x v="0"/>
    <x v="2"/>
    <x v="1"/>
    <n v="60"/>
    <n v="125000"/>
    <n v="7500000"/>
    <n v="210000"/>
    <n v="12600000"/>
    <n v="5100000"/>
  </r>
  <r>
    <x v="17"/>
    <x v="1"/>
    <x v="2"/>
    <x v="2"/>
    <n v="80"/>
    <n v="185000"/>
    <n v="14800000"/>
    <n v="210000"/>
    <n v="16800000"/>
    <n v="2000000"/>
  </r>
  <r>
    <x v="18"/>
    <x v="2"/>
    <x v="2"/>
    <x v="0"/>
    <n v="60"/>
    <n v="205000"/>
    <n v="12300000"/>
    <n v="225000"/>
    <n v="13500000"/>
    <n v="1200000"/>
  </r>
  <r>
    <x v="19"/>
    <x v="2"/>
    <x v="2"/>
    <x v="1"/>
    <n v="70"/>
    <n v="115000"/>
    <n v="8050000"/>
    <n v="210000"/>
    <n v="14700000"/>
    <n v="6650000"/>
  </r>
  <r>
    <x v="20"/>
    <x v="1"/>
    <x v="1"/>
    <x v="2"/>
    <n v="50"/>
    <n v="185000"/>
    <n v="9250000"/>
    <n v="210000"/>
    <n v="10500000"/>
    <n v="1250000"/>
  </r>
  <r>
    <x v="21"/>
    <x v="1"/>
    <x v="1"/>
    <x v="0"/>
    <n v="50"/>
    <n v="145000"/>
    <n v="7250000"/>
    <n v="225000"/>
    <n v="11250000"/>
    <n v="4000000"/>
  </r>
  <r>
    <x v="22"/>
    <x v="0"/>
    <x v="1"/>
    <x v="1"/>
    <n v="70"/>
    <n v="125000"/>
    <n v="8750000"/>
    <n v="210000"/>
    <n v="14700000"/>
    <n v="5950000"/>
  </r>
  <r>
    <x v="23"/>
    <x v="0"/>
    <x v="1"/>
    <x v="2"/>
    <n v="60"/>
    <n v="85000"/>
    <n v="5100000"/>
    <n v="210000"/>
    <n v="12600000"/>
    <n v="7500000"/>
  </r>
  <r>
    <x v="24"/>
    <x v="0"/>
    <x v="1"/>
    <x v="0"/>
    <n v="90"/>
    <n v="185000"/>
    <n v="16650000"/>
    <n v="225000"/>
    <n v="20250000"/>
    <n v="3600000"/>
  </r>
  <r>
    <x v="25"/>
    <x v="0"/>
    <x v="1"/>
    <x v="1"/>
    <n v="50"/>
    <n v="145000"/>
    <n v="7250000"/>
    <n v="210000"/>
    <n v="10500000"/>
    <n v="3250000"/>
  </r>
  <r>
    <x v="26"/>
    <x v="0"/>
    <x v="1"/>
    <x v="2"/>
    <n v="70"/>
    <n v="155000"/>
    <n v="10850000"/>
    <n v="210000"/>
    <n v="14700000"/>
    <n v="3850000"/>
  </r>
  <r>
    <x v="27"/>
    <x v="0"/>
    <x v="1"/>
    <x v="0"/>
    <n v="50"/>
    <n v="175000"/>
    <n v="8750000"/>
    <n v="225000"/>
    <n v="11250000"/>
    <n v="2500000"/>
  </r>
  <r>
    <x v="28"/>
    <x v="0"/>
    <x v="1"/>
    <x v="1"/>
    <n v="70"/>
    <n v="195000"/>
    <n v="13650000"/>
    <n v="210000"/>
    <n v="14700000"/>
    <n v="1050000"/>
  </r>
  <r>
    <x v="29"/>
    <x v="1"/>
    <x v="1"/>
    <x v="2"/>
    <n v="60"/>
    <n v="185000"/>
    <n v="11100000"/>
    <n v="210000"/>
    <n v="12600000"/>
    <n v="1500000"/>
  </r>
  <r>
    <x v="30"/>
    <x v="2"/>
    <x v="1"/>
    <x v="0"/>
    <n v="70"/>
    <n v="165000"/>
    <n v="11550000"/>
    <n v="225000"/>
    <n v="15750000"/>
    <n v="4200000"/>
  </r>
  <r>
    <x v="31"/>
    <x v="2"/>
    <x v="1"/>
    <x v="1"/>
    <n v="50"/>
    <n v="185000"/>
    <n v="9250000"/>
    <n v="210000"/>
    <n v="10500000"/>
    <n v="1250000"/>
  </r>
  <r>
    <x v="32"/>
    <x v="0"/>
    <x v="0"/>
    <x v="2"/>
    <n v="40"/>
    <n v="95000"/>
    <n v="3800000"/>
    <n v="210000"/>
    <n v="8400000"/>
    <n v="4600000"/>
  </r>
  <r>
    <x v="33"/>
    <x v="0"/>
    <x v="0"/>
    <x v="0"/>
    <n v="60"/>
    <n v="115000"/>
    <n v="6900000"/>
    <n v="225000"/>
    <n v="13500000"/>
    <n v="6600000"/>
  </r>
  <r>
    <x v="34"/>
    <x v="0"/>
    <x v="0"/>
    <x v="1"/>
    <n v="50"/>
    <n v="135000"/>
    <n v="6750000"/>
    <n v="210000"/>
    <n v="10500000"/>
    <n v="3750000"/>
  </r>
  <r>
    <x v="35"/>
    <x v="0"/>
    <x v="0"/>
    <x v="2"/>
    <n v="70"/>
    <n v="205000"/>
    <n v="14350000"/>
    <n v="210000"/>
    <n v="14700000"/>
    <n v="350000"/>
  </r>
  <r>
    <x v="36"/>
    <x v="0"/>
    <x v="0"/>
    <x v="0"/>
    <n v="40"/>
    <n v="155000"/>
    <n v="6200000"/>
    <n v="225000"/>
    <n v="9000000"/>
    <n v="2800000"/>
  </r>
  <r>
    <x v="37"/>
    <x v="0"/>
    <x v="0"/>
    <x v="1"/>
    <n v="80"/>
    <n v="175000"/>
    <n v="14000000"/>
    <n v="210000"/>
    <n v="16800000"/>
    <n v="2800000"/>
  </r>
  <r>
    <x v="38"/>
    <x v="0"/>
    <x v="0"/>
    <x v="2"/>
    <n v="50"/>
    <n v="145000"/>
    <n v="7250000"/>
    <n v="210000"/>
    <n v="10500000"/>
    <n v="3250000"/>
  </r>
  <r>
    <x v="39"/>
    <x v="1"/>
    <x v="0"/>
    <x v="0"/>
    <n v="90"/>
    <n v="205000"/>
    <n v="18450000"/>
    <n v="225000"/>
    <n v="20250000"/>
    <n v="1800000"/>
  </r>
  <r>
    <x v="40"/>
    <x v="2"/>
    <x v="0"/>
    <x v="1"/>
    <n v="90"/>
    <n v="215000"/>
    <n v="19350000"/>
    <n v="210000"/>
    <n v="18900000"/>
    <n v="-450000"/>
  </r>
  <r>
    <x v="41"/>
    <x v="2"/>
    <x v="0"/>
    <x v="2"/>
    <n v="60"/>
    <n v="185000"/>
    <n v="11100000"/>
    <n v="210000"/>
    <n v="12600000"/>
    <n v="1500000"/>
  </r>
  <r>
    <x v="42"/>
    <x v="0"/>
    <x v="0"/>
    <x v="0"/>
    <n v="70"/>
    <n v="115000"/>
    <n v="8050000"/>
    <n v="225000"/>
    <n v="15750000"/>
    <n v="7700000"/>
  </r>
  <r>
    <x v="43"/>
    <x v="0"/>
    <x v="0"/>
    <x v="1"/>
    <n v="80"/>
    <n v="115000"/>
    <n v="9200000"/>
    <n v="210000"/>
    <n v="16800000"/>
    <n v="7600000"/>
  </r>
  <r>
    <x v="44"/>
    <x v="0"/>
    <x v="1"/>
    <x v="2"/>
    <n v="40"/>
    <n v="105000"/>
    <n v="4200000"/>
    <n v="210000"/>
    <n v="8400000"/>
    <n v="4200000"/>
  </r>
  <r>
    <x v="45"/>
    <x v="0"/>
    <x v="1"/>
    <x v="0"/>
    <n v="80"/>
    <n v="135000"/>
    <n v="10800000"/>
    <n v="225000"/>
    <n v="18000000"/>
    <n v="7200000"/>
  </r>
  <r>
    <x v="46"/>
    <x v="0"/>
    <x v="1"/>
    <x v="1"/>
    <n v="60"/>
    <n v="205000"/>
    <n v="12300000"/>
    <n v="210000"/>
    <n v="12600000"/>
    <n v="300000"/>
  </r>
  <r>
    <x v="47"/>
    <x v="0"/>
    <x v="1"/>
    <x v="2"/>
    <n v="70"/>
    <n v="115000"/>
    <n v="8050000"/>
    <n v="210000"/>
    <n v="14700000"/>
    <n v="6650000"/>
  </r>
  <r>
    <x v="48"/>
    <x v="0"/>
    <x v="2"/>
    <x v="0"/>
    <n v="50"/>
    <n v="165000"/>
    <n v="8250000"/>
    <n v="225000"/>
    <n v="11250000"/>
    <n v="3000000"/>
  </r>
  <r>
    <x v="49"/>
    <x v="1"/>
    <x v="2"/>
    <x v="1"/>
    <n v="70"/>
    <n v="115000"/>
    <n v="8050000"/>
    <n v="210000"/>
    <n v="14700000"/>
    <n v="6650000"/>
  </r>
  <r>
    <x v="50"/>
    <x v="2"/>
    <x v="2"/>
    <x v="2"/>
    <n v="60"/>
    <n v="165000"/>
    <n v="9900000"/>
    <n v="210000"/>
    <n v="12600000"/>
    <n v="2700000"/>
  </r>
  <r>
    <x v="51"/>
    <x v="2"/>
    <x v="2"/>
    <x v="0"/>
    <n v="50"/>
    <n v="95000"/>
    <n v="4750000"/>
    <n v="225000"/>
    <n v="11250000"/>
    <n v="6500000"/>
  </r>
  <r>
    <x v="52"/>
    <x v="0"/>
    <x v="0"/>
    <x v="1"/>
    <n v="40"/>
    <n v="205000"/>
    <n v="8200000"/>
    <n v="210000"/>
    <n v="8400000"/>
    <n v="200000"/>
  </r>
  <r>
    <x v="53"/>
    <x v="0"/>
    <x v="0"/>
    <x v="2"/>
    <n v="90"/>
    <n v="145000"/>
    <n v="13050000"/>
    <n v="210000"/>
    <n v="18900000"/>
    <n v="5850000"/>
  </r>
  <r>
    <x v="54"/>
    <x v="0"/>
    <x v="0"/>
    <x v="0"/>
    <n v="50"/>
    <n v="175000"/>
    <n v="8750000"/>
    <n v="225000"/>
    <n v="11250000"/>
    <n v="2500000"/>
  </r>
  <r>
    <x v="55"/>
    <x v="0"/>
    <x v="0"/>
    <x v="1"/>
    <n v="40"/>
    <n v="175000"/>
    <n v="7000000"/>
    <n v="210000"/>
    <n v="8400000"/>
    <n v="1400000"/>
  </r>
  <r>
    <x v="56"/>
    <x v="0"/>
    <x v="0"/>
    <x v="2"/>
    <n v="40"/>
    <n v="115000"/>
    <n v="4600000"/>
    <n v="210000"/>
    <n v="8400000"/>
    <n v="3800000"/>
  </r>
  <r>
    <x v="57"/>
    <x v="0"/>
    <x v="0"/>
    <x v="0"/>
    <n v="80"/>
    <n v="155000"/>
    <n v="12400000"/>
    <n v="225000"/>
    <n v="18000000"/>
    <n v="5600000"/>
  </r>
  <r>
    <x v="58"/>
    <x v="0"/>
    <x v="0"/>
    <x v="1"/>
    <n v="60"/>
    <n v="165000"/>
    <n v="9900000"/>
    <n v="210000"/>
    <n v="12600000"/>
    <n v="2700000"/>
  </r>
  <r>
    <x v="59"/>
    <x v="1"/>
    <x v="0"/>
    <x v="2"/>
    <n v="70"/>
    <n v="165000"/>
    <n v="11550000"/>
    <n v="210000"/>
    <n v="14700000"/>
    <n v="3150000"/>
  </r>
  <r>
    <x v="60"/>
    <x v="2"/>
    <x v="0"/>
    <x v="0"/>
    <n v="50"/>
    <n v="195000"/>
    <n v="9750000"/>
    <n v="225000"/>
    <n v="11250000"/>
    <n v="1500000"/>
  </r>
  <r>
    <x v="61"/>
    <x v="2"/>
    <x v="0"/>
    <x v="1"/>
    <n v="70"/>
    <n v="135000"/>
    <n v="9450000"/>
    <n v="210000"/>
    <n v="14700000"/>
    <n v="5250000"/>
  </r>
  <r>
    <x v="62"/>
    <x v="0"/>
    <x v="0"/>
    <x v="2"/>
    <n v="50"/>
    <n v="135000"/>
    <n v="6750000"/>
    <n v="210000"/>
    <n v="10500000"/>
    <n v="3750000"/>
  </r>
  <r>
    <x v="63"/>
    <x v="0"/>
    <x v="0"/>
    <x v="0"/>
    <n v="60"/>
    <n v="115000"/>
    <n v="6900000"/>
    <n v="225000"/>
    <n v="13500000"/>
    <n v="6600000"/>
  </r>
  <r>
    <x v="64"/>
    <x v="0"/>
    <x v="1"/>
    <x v="1"/>
    <n v="80"/>
    <n v="125000"/>
    <n v="10000000"/>
    <n v="210000"/>
    <n v="16800000"/>
    <n v="6800000"/>
  </r>
  <r>
    <x v="65"/>
    <x v="0"/>
    <x v="1"/>
    <x v="2"/>
    <n v="40"/>
    <n v="115000"/>
    <n v="4600000"/>
    <n v="210000"/>
    <n v="8400000"/>
    <n v="3800000"/>
  </r>
  <r>
    <x v="66"/>
    <x v="0"/>
    <x v="1"/>
    <x v="0"/>
    <n v="70"/>
    <n v="205000"/>
    <n v="14350000"/>
    <n v="225000"/>
    <n v="15750000"/>
    <n v="1400000"/>
  </r>
  <r>
    <x v="67"/>
    <x v="0"/>
    <x v="1"/>
    <x v="1"/>
    <n v="90"/>
    <n v="195000"/>
    <n v="17550000"/>
    <n v="210000"/>
    <n v="18900000"/>
    <n v="1350000"/>
  </r>
  <r>
    <x v="68"/>
    <x v="0"/>
    <x v="2"/>
    <x v="2"/>
    <n v="60"/>
    <n v="205000"/>
    <n v="12300000"/>
    <n v="210000"/>
    <n v="12600000"/>
    <n v="300000"/>
  </r>
  <r>
    <x v="69"/>
    <x v="1"/>
    <x v="2"/>
    <x v="0"/>
    <n v="70"/>
    <n v="215000"/>
    <n v="15050000"/>
    <n v="225000"/>
    <n v="15750000"/>
    <n v="700000"/>
  </r>
  <r>
    <x v="70"/>
    <x v="2"/>
    <x v="2"/>
    <x v="1"/>
    <n v="80"/>
    <n v="105000"/>
    <n v="8400000"/>
    <n v="210000"/>
    <n v="16800000"/>
    <n v="8400000"/>
  </r>
  <r>
    <x v="71"/>
    <x v="2"/>
    <x v="2"/>
    <x v="2"/>
    <n v="40"/>
    <n v="165000"/>
    <n v="6600000"/>
    <n v="210000"/>
    <n v="8400000"/>
    <n v="1800000"/>
  </r>
  <r>
    <x v="72"/>
    <x v="0"/>
    <x v="0"/>
    <x v="0"/>
    <n v="50"/>
    <n v="155000"/>
    <n v="7750000"/>
    <n v="225000"/>
    <n v="11250000"/>
    <n v="3500000"/>
  </r>
  <r>
    <x v="73"/>
    <x v="0"/>
    <x v="0"/>
    <x v="1"/>
    <n v="70"/>
    <n v="135000"/>
    <n v="9450000"/>
    <n v="210000"/>
    <n v="14700000"/>
    <n v="5250000"/>
  </r>
  <r>
    <x v="74"/>
    <x v="0"/>
    <x v="0"/>
    <x v="2"/>
    <n v="60"/>
    <n v="105000"/>
    <n v="6300000"/>
    <n v="210000"/>
    <n v="12600000"/>
    <n v="6300000"/>
  </r>
  <r>
    <x v="75"/>
    <x v="0"/>
    <x v="0"/>
    <x v="0"/>
    <n v="70"/>
    <n v="125000"/>
    <n v="8750000"/>
    <n v="225000"/>
    <n v="15750000"/>
    <n v="7000000"/>
  </r>
  <r>
    <x v="76"/>
    <x v="0"/>
    <x v="0"/>
    <x v="1"/>
    <n v="60"/>
    <n v="205000"/>
    <n v="12300000"/>
    <n v="210000"/>
    <n v="12600000"/>
    <n v="300000"/>
  </r>
  <r>
    <x v="77"/>
    <x v="0"/>
    <x v="0"/>
    <x v="2"/>
    <n v="70"/>
    <n v="105000"/>
    <n v="7350000"/>
    <n v="210000"/>
    <n v="14700000"/>
    <n v="7350000"/>
  </r>
  <r>
    <x v="78"/>
    <x v="0"/>
    <x v="0"/>
    <x v="0"/>
    <n v="70"/>
    <n v="145000"/>
    <n v="10150000"/>
    <n v="225000"/>
    <n v="15750000"/>
    <n v="5600000"/>
  </r>
  <r>
    <x v="79"/>
    <x v="1"/>
    <x v="0"/>
    <x v="1"/>
    <n v="70"/>
    <n v="135000"/>
    <n v="9450000"/>
    <n v="210000"/>
    <n v="14700000"/>
    <n v="5250000"/>
  </r>
  <r>
    <x v="80"/>
    <x v="2"/>
    <x v="0"/>
    <x v="2"/>
    <n v="80"/>
    <n v="195000"/>
    <n v="15600000"/>
    <n v="210000"/>
    <n v="16800000"/>
    <n v="1200000"/>
  </r>
  <r>
    <x v="81"/>
    <x v="2"/>
    <x v="0"/>
    <x v="0"/>
    <n v="50"/>
    <n v="125000"/>
    <n v="6250000"/>
    <n v="225000"/>
    <n v="11250000"/>
    <n v="5000000"/>
  </r>
  <r>
    <x v="82"/>
    <x v="0"/>
    <x v="0"/>
    <x v="1"/>
    <n v="70"/>
    <n v="155000"/>
    <n v="10850000"/>
    <n v="210000"/>
    <n v="14700000"/>
    <n v="3850000"/>
  </r>
  <r>
    <x v="83"/>
    <x v="0"/>
    <x v="0"/>
    <x v="2"/>
    <n v="50"/>
    <n v="105000"/>
    <n v="5250000"/>
    <n v="210000"/>
    <n v="10500000"/>
    <n v="5250000"/>
  </r>
  <r>
    <x v="84"/>
    <x v="0"/>
    <x v="1"/>
    <x v="0"/>
    <n v="50"/>
    <n v="195000"/>
    <n v="9750000"/>
    <n v="225000"/>
    <n v="11250000"/>
    <n v="1500000"/>
  </r>
  <r>
    <x v="85"/>
    <x v="0"/>
    <x v="1"/>
    <x v="1"/>
    <n v="40"/>
    <n v="125000"/>
    <n v="5000000"/>
    <n v="210000"/>
    <n v="8400000"/>
    <n v="3400000"/>
  </r>
  <r>
    <x v="86"/>
    <x v="0"/>
    <x v="1"/>
    <x v="2"/>
    <n v="50"/>
    <n v="205000"/>
    <n v="10250000"/>
    <n v="210000"/>
    <n v="10500000"/>
    <n v="250000"/>
  </r>
  <r>
    <x v="87"/>
    <x v="0"/>
    <x v="1"/>
    <x v="0"/>
    <n v="60"/>
    <n v="105000"/>
    <n v="6300000"/>
    <n v="225000"/>
    <n v="13500000"/>
    <n v="7200000"/>
  </r>
  <r>
    <x v="88"/>
    <x v="0"/>
    <x v="2"/>
    <x v="1"/>
    <n v="70"/>
    <n v="195000"/>
    <n v="13650000"/>
    <n v="210000"/>
    <n v="14700000"/>
    <n v="1050000"/>
  </r>
  <r>
    <x v="89"/>
    <x v="1"/>
    <x v="2"/>
    <x v="2"/>
    <n v="40"/>
    <n v="105000"/>
    <n v="4200000"/>
    <n v="210000"/>
    <n v="8400000"/>
    <n v="4200000"/>
  </r>
  <r>
    <x v="90"/>
    <x v="2"/>
    <x v="2"/>
    <x v="0"/>
    <n v="80"/>
    <n v="95000"/>
    <n v="7600000"/>
    <n v="225000"/>
    <n v="18000000"/>
    <n v="10400000"/>
  </r>
  <r>
    <x v="91"/>
    <x v="2"/>
    <x v="2"/>
    <x v="1"/>
    <n v="80"/>
    <n v="195000"/>
    <n v="15600000"/>
    <n v="210000"/>
    <n v="16800000"/>
    <n v="1200000"/>
  </r>
  <r>
    <x v="92"/>
    <x v="0"/>
    <x v="0"/>
    <x v="2"/>
    <n v="60"/>
    <n v="95000"/>
    <n v="5700000"/>
    <n v="210000"/>
    <n v="12600000"/>
    <n v="6900000"/>
  </r>
  <r>
    <x v="93"/>
    <x v="0"/>
    <x v="0"/>
    <x v="0"/>
    <n v="40"/>
    <n v="155000"/>
    <n v="6200000"/>
    <n v="225000"/>
    <n v="9000000"/>
    <n v="2800000"/>
  </r>
  <r>
    <x v="94"/>
    <x v="0"/>
    <x v="0"/>
    <x v="1"/>
    <n v="80"/>
    <n v="125000"/>
    <n v="10000000"/>
    <n v="210000"/>
    <n v="16800000"/>
    <n v="6800000"/>
  </r>
  <r>
    <x v="95"/>
    <x v="0"/>
    <x v="0"/>
    <x v="2"/>
    <n v="50"/>
    <n v="165000"/>
    <n v="8250000"/>
    <n v="210000"/>
    <n v="10500000"/>
    <n v="2250000"/>
  </r>
  <r>
    <x v="96"/>
    <x v="0"/>
    <x v="0"/>
    <x v="0"/>
    <n v="90"/>
    <n v="195000"/>
    <n v="17550000"/>
    <n v="225000"/>
    <n v="20250000"/>
    <n v="2700000"/>
  </r>
  <r>
    <x v="97"/>
    <x v="0"/>
    <x v="0"/>
    <x v="1"/>
    <n v="90"/>
    <n v="95000"/>
    <n v="8550000"/>
    <n v="210000"/>
    <n v="18900000"/>
    <n v="10350000"/>
  </r>
  <r>
    <x v="98"/>
    <x v="0"/>
    <x v="0"/>
    <x v="2"/>
    <n v="60"/>
    <n v="105000"/>
    <n v="6300000"/>
    <n v="210000"/>
    <n v="12600000"/>
    <n v="6300000"/>
  </r>
  <r>
    <x v="99"/>
    <x v="1"/>
    <x v="0"/>
    <x v="0"/>
    <n v="80"/>
    <n v="145000"/>
    <n v="11600000"/>
    <n v="225000"/>
    <n v="18000000"/>
    <n v="6400000"/>
  </r>
  <r>
    <x v="100"/>
    <x v="2"/>
    <x v="0"/>
    <x v="1"/>
    <n v="80"/>
    <n v="175000"/>
    <n v="14000000"/>
    <n v="210000"/>
    <n v="16800000"/>
    <n v="2800000"/>
  </r>
  <r>
    <x v="101"/>
    <x v="2"/>
    <x v="0"/>
    <x v="2"/>
    <n v="70"/>
    <n v="125000"/>
    <n v="8750000"/>
    <n v="210000"/>
    <n v="14700000"/>
    <n v="5950000"/>
  </r>
  <r>
    <x v="102"/>
    <x v="0"/>
    <x v="0"/>
    <x v="0"/>
    <n v="60"/>
    <n v="165000"/>
    <n v="9900000"/>
    <n v="225000"/>
    <n v="13500000"/>
    <n v="3600000"/>
  </r>
  <r>
    <x v="103"/>
    <x v="0"/>
    <x v="0"/>
    <x v="1"/>
    <n v="40"/>
    <n v="185000"/>
    <n v="7400000"/>
    <n v="210000"/>
    <n v="8400000"/>
    <n v="1000000"/>
  </r>
  <r>
    <x v="104"/>
    <x v="0"/>
    <x v="1"/>
    <x v="2"/>
    <n v="40"/>
    <n v="175000"/>
    <n v="7000000"/>
    <n v="210000"/>
    <n v="8400000"/>
    <n v="1400000"/>
  </r>
  <r>
    <x v="105"/>
    <x v="0"/>
    <x v="1"/>
    <x v="0"/>
    <n v="80"/>
    <n v="165000"/>
    <n v="13200000"/>
    <n v="225000"/>
    <n v="18000000"/>
    <n v="4800000"/>
  </r>
  <r>
    <x v="106"/>
    <x v="0"/>
    <x v="1"/>
    <x v="1"/>
    <n v="80"/>
    <n v="145000"/>
    <n v="11600000"/>
    <n v="210000"/>
    <n v="16800000"/>
    <n v="5200000"/>
  </r>
  <r>
    <x v="107"/>
    <x v="0"/>
    <x v="1"/>
    <x v="2"/>
    <n v="70"/>
    <n v="135000"/>
    <n v="9450000"/>
    <n v="210000"/>
    <n v="14700000"/>
    <n v="5250000"/>
  </r>
  <r>
    <x v="108"/>
    <x v="0"/>
    <x v="2"/>
    <x v="0"/>
    <n v="60"/>
    <n v="145000"/>
    <n v="8700000"/>
    <n v="225000"/>
    <n v="13500000"/>
    <n v="4800000"/>
  </r>
  <r>
    <x v="109"/>
    <x v="1"/>
    <x v="2"/>
    <x v="1"/>
    <n v="80"/>
    <n v="145000"/>
    <n v="11600000"/>
    <n v="210000"/>
    <n v="16800000"/>
    <n v="5200000"/>
  </r>
  <r>
    <x v="110"/>
    <x v="2"/>
    <x v="2"/>
    <x v="2"/>
    <n v="50"/>
    <n v="205000"/>
    <n v="10250000"/>
    <n v="210000"/>
    <n v="10500000"/>
    <n v="250000"/>
  </r>
  <r>
    <x v="111"/>
    <x v="2"/>
    <x v="2"/>
    <x v="0"/>
    <n v="50"/>
    <n v="115000"/>
    <n v="5750000"/>
    <n v="225000"/>
    <n v="11250000"/>
    <n v="5500000"/>
  </r>
  <r>
    <x v="112"/>
    <x v="0"/>
    <x v="0"/>
    <x v="1"/>
    <n v="50"/>
    <n v="215000"/>
    <n v="10750000"/>
    <n v="210000"/>
    <n v="10500000"/>
    <n v="-250000"/>
  </r>
  <r>
    <x v="113"/>
    <x v="0"/>
    <x v="0"/>
    <x v="2"/>
    <n v="90"/>
    <n v="115000"/>
    <n v="10350000"/>
    <n v="210000"/>
    <n v="18900000"/>
    <n v="8550000"/>
  </r>
  <r>
    <x v="114"/>
    <x v="0"/>
    <x v="0"/>
    <x v="0"/>
    <n v="80"/>
    <n v="165000"/>
    <n v="13200000"/>
    <n v="225000"/>
    <n v="18000000"/>
    <n v="4800000"/>
  </r>
  <r>
    <x v="115"/>
    <x v="0"/>
    <x v="0"/>
    <x v="1"/>
    <n v="90"/>
    <n v="145000"/>
    <n v="13050000"/>
    <n v="210000"/>
    <n v="18900000"/>
    <n v="5850000"/>
  </r>
  <r>
    <x v="116"/>
    <x v="0"/>
    <x v="0"/>
    <x v="2"/>
    <n v="40"/>
    <n v="125000"/>
    <n v="5000000"/>
    <n v="210000"/>
    <n v="8400000"/>
    <n v="3400000"/>
  </r>
  <r>
    <x v="117"/>
    <x v="0"/>
    <x v="0"/>
    <x v="0"/>
    <n v="90"/>
    <n v="155000"/>
    <n v="13950000"/>
    <n v="225000"/>
    <n v="20250000"/>
    <n v="6300000"/>
  </r>
  <r>
    <x v="118"/>
    <x v="0"/>
    <x v="0"/>
    <x v="1"/>
    <n v="60"/>
    <n v="175000"/>
    <n v="10500000"/>
    <n v="210000"/>
    <n v="12600000"/>
    <n v="2100000"/>
  </r>
  <r>
    <x v="119"/>
    <x v="1"/>
    <x v="0"/>
    <x v="2"/>
    <n v="70"/>
    <n v="205000"/>
    <n v="14350000"/>
    <n v="210000"/>
    <n v="14700000"/>
    <n v="350000"/>
  </r>
  <r>
    <x v="120"/>
    <x v="2"/>
    <x v="0"/>
    <x v="0"/>
    <n v="60"/>
    <n v="165000"/>
    <n v="9900000"/>
    <n v="225000"/>
    <n v="13500000"/>
    <n v="3600000"/>
  </r>
  <r>
    <x v="121"/>
    <x v="2"/>
    <x v="0"/>
    <x v="1"/>
    <n v="70"/>
    <n v="145000"/>
    <n v="10150000"/>
    <n v="210000"/>
    <n v="14700000"/>
    <n v="4550000"/>
  </r>
  <r>
    <x v="122"/>
    <x v="0"/>
    <x v="0"/>
    <x v="2"/>
    <n v="40"/>
    <n v="175000"/>
    <n v="7000000"/>
    <n v="210000"/>
    <n v="8400000"/>
    <n v="1400000"/>
  </r>
  <r>
    <x v="123"/>
    <x v="0"/>
    <x v="0"/>
    <x v="0"/>
    <n v="90"/>
    <n v="145000"/>
    <n v="13050000"/>
    <n v="225000"/>
    <n v="20250000"/>
    <n v="7200000"/>
  </r>
  <r>
    <x v="124"/>
    <x v="0"/>
    <x v="1"/>
    <x v="1"/>
    <n v="40"/>
    <n v="165000"/>
    <n v="6600000"/>
    <n v="210000"/>
    <n v="8400000"/>
    <n v="1800000"/>
  </r>
  <r>
    <x v="125"/>
    <x v="0"/>
    <x v="1"/>
    <x v="2"/>
    <n v="70"/>
    <n v="155000"/>
    <n v="10850000"/>
    <n v="210000"/>
    <n v="14700000"/>
    <n v="3850000"/>
  </r>
  <r>
    <x v="126"/>
    <x v="0"/>
    <x v="1"/>
    <x v="0"/>
    <n v="80"/>
    <n v="185000"/>
    <n v="14800000"/>
    <n v="225000"/>
    <n v="18000000"/>
    <n v="3200000"/>
  </r>
  <r>
    <x v="127"/>
    <x v="0"/>
    <x v="1"/>
    <x v="1"/>
    <n v="70"/>
    <n v="145000"/>
    <n v="10150000"/>
    <n v="210000"/>
    <n v="14700000"/>
    <n v="4550000"/>
  </r>
  <r>
    <x v="128"/>
    <x v="0"/>
    <x v="2"/>
    <x v="2"/>
    <n v="80"/>
    <n v="115000"/>
    <n v="9200000"/>
    <n v="210000"/>
    <n v="16800000"/>
    <n v="7600000"/>
  </r>
  <r>
    <x v="129"/>
    <x v="1"/>
    <x v="2"/>
    <x v="0"/>
    <n v="70"/>
    <n v="195000"/>
    <n v="13650000"/>
    <n v="225000"/>
    <n v="15750000"/>
    <n v="2100000"/>
  </r>
  <r>
    <x v="130"/>
    <x v="2"/>
    <x v="2"/>
    <x v="1"/>
    <n v="50"/>
    <n v="175000"/>
    <n v="8750000"/>
    <n v="210000"/>
    <n v="10500000"/>
    <n v="1750000"/>
  </r>
  <r>
    <x v="131"/>
    <x v="2"/>
    <x v="2"/>
    <x v="2"/>
    <n v="50"/>
    <n v="195000"/>
    <n v="9750000"/>
    <n v="210000"/>
    <n v="10500000"/>
    <n v="750000"/>
  </r>
  <r>
    <x v="132"/>
    <x v="0"/>
    <x v="0"/>
    <x v="0"/>
    <n v="70"/>
    <n v="215000"/>
    <n v="15050000"/>
    <n v="225000"/>
    <n v="15750000"/>
    <n v="700000"/>
  </r>
  <r>
    <x v="133"/>
    <x v="0"/>
    <x v="0"/>
    <x v="1"/>
    <n v="80"/>
    <n v="215000"/>
    <n v="17200000"/>
    <n v="210000"/>
    <n v="16800000"/>
    <n v="-400000"/>
  </r>
  <r>
    <x v="134"/>
    <x v="0"/>
    <x v="0"/>
    <x v="2"/>
    <n v="90"/>
    <n v="145000"/>
    <n v="13050000"/>
    <n v="210000"/>
    <n v="18900000"/>
    <n v="5850000"/>
  </r>
  <r>
    <x v="135"/>
    <x v="0"/>
    <x v="0"/>
    <x v="0"/>
    <n v="50"/>
    <n v="175000"/>
    <n v="8750000"/>
    <n v="225000"/>
    <n v="11250000"/>
    <n v="2500000"/>
  </r>
  <r>
    <x v="136"/>
    <x v="0"/>
    <x v="0"/>
    <x v="1"/>
    <n v="80"/>
    <n v="95000"/>
    <n v="7600000"/>
    <n v="210000"/>
    <n v="16800000"/>
    <n v="9200000"/>
  </r>
  <r>
    <x v="137"/>
    <x v="0"/>
    <x v="0"/>
    <x v="2"/>
    <n v="70"/>
    <n v="115000"/>
    <n v="8050000"/>
    <n v="210000"/>
    <n v="14700000"/>
    <n v="6650000"/>
  </r>
  <r>
    <x v="138"/>
    <x v="0"/>
    <x v="0"/>
    <x v="0"/>
    <n v="50"/>
    <n v="95000"/>
    <n v="4750000"/>
    <n v="225000"/>
    <n v="11250000"/>
    <n v="6500000"/>
  </r>
  <r>
    <x v="139"/>
    <x v="1"/>
    <x v="0"/>
    <x v="1"/>
    <n v="50"/>
    <n v="115000"/>
    <n v="5750000"/>
    <n v="210000"/>
    <n v="10500000"/>
    <n v="4750000"/>
  </r>
  <r>
    <x v="140"/>
    <x v="2"/>
    <x v="0"/>
    <x v="2"/>
    <n v="60"/>
    <n v="195000"/>
    <n v="11700000"/>
    <n v="210000"/>
    <n v="12600000"/>
    <n v="900000"/>
  </r>
  <r>
    <x v="141"/>
    <x v="2"/>
    <x v="0"/>
    <x v="0"/>
    <n v="60"/>
    <n v="165000"/>
    <n v="9900000"/>
    <n v="225000"/>
    <n v="13500000"/>
    <n v="3600000"/>
  </r>
  <r>
    <x v="142"/>
    <x v="0"/>
    <x v="0"/>
    <x v="1"/>
    <n v="70"/>
    <n v="125000"/>
    <n v="8750000"/>
    <n v="210000"/>
    <n v="14700000"/>
    <n v="5950000"/>
  </r>
  <r>
    <x v="143"/>
    <x v="0"/>
    <x v="0"/>
    <x v="2"/>
    <n v="40"/>
    <n v="205000"/>
    <n v="8200000"/>
    <n v="210000"/>
    <n v="8400000"/>
    <n v="200000"/>
  </r>
  <r>
    <x v="144"/>
    <x v="0"/>
    <x v="1"/>
    <x v="0"/>
    <n v="80"/>
    <n v="205000"/>
    <n v="16400000"/>
    <n v="225000"/>
    <n v="18000000"/>
    <n v="1600000"/>
  </r>
  <r>
    <x v="145"/>
    <x v="0"/>
    <x v="1"/>
    <x v="1"/>
    <n v="80"/>
    <n v="135000"/>
    <n v="10800000"/>
    <n v="210000"/>
    <n v="16800000"/>
    <n v="6000000"/>
  </r>
  <r>
    <x v="146"/>
    <x v="0"/>
    <x v="1"/>
    <x v="2"/>
    <n v="70"/>
    <n v="205000"/>
    <n v="14350000"/>
    <n v="210000"/>
    <n v="14700000"/>
    <n v="350000"/>
  </r>
  <r>
    <x v="147"/>
    <x v="0"/>
    <x v="1"/>
    <x v="0"/>
    <n v="70"/>
    <n v="105000"/>
    <n v="7350000"/>
    <n v="225000"/>
    <n v="15750000"/>
    <n v="8400000"/>
  </r>
  <r>
    <x v="148"/>
    <x v="0"/>
    <x v="2"/>
    <x v="1"/>
    <n v="60"/>
    <n v="135000"/>
    <n v="8100000"/>
    <n v="210000"/>
    <n v="12600000"/>
    <n v="4500000"/>
  </r>
  <r>
    <x v="149"/>
    <x v="1"/>
    <x v="2"/>
    <x v="2"/>
    <n v="60"/>
    <n v="105000"/>
    <n v="6300000"/>
    <n v="210000"/>
    <n v="12600000"/>
    <n v="6300000"/>
  </r>
  <r>
    <x v="150"/>
    <x v="2"/>
    <x v="2"/>
    <x v="0"/>
    <n v="90"/>
    <n v="175000"/>
    <n v="15750000"/>
    <n v="225000"/>
    <n v="20250000"/>
    <n v="4500000"/>
  </r>
  <r>
    <x v="151"/>
    <x v="2"/>
    <x v="2"/>
    <x v="1"/>
    <n v="50"/>
    <n v="175000"/>
    <n v="8750000"/>
    <n v="210000"/>
    <n v="10500000"/>
    <n v="1750000"/>
  </r>
  <r>
    <x v="152"/>
    <x v="0"/>
    <x v="0"/>
    <x v="2"/>
    <n v="60"/>
    <n v="115000"/>
    <n v="6900000"/>
    <n v="210000"/>
    <n v="12600000"/>
    <n v="5700000"/>
  </r>
  <r>
    <x v="153"/>
    <x v="0"/>
    <x v="0"/>
    <x v="0"/>
    <n v="50"/>
    <n v="175000"/>
    <n v="8750000"/>
    <n v="225000"/>
    <n v="11250000"/>
    <n v="2500000"/>
  </r>
  <r>
    <x v="154"/>
    <x v="0"/>
    <x v="0"/>
    <x v="1"/>
    <n v="90"/>
    <n v="135000"/>
    <n v="12150000"/>
    <n v="210000"/>
    <n v="18900000"/>
    <n v="6750000"/>
  </r>
  <r>
    <x v="155"/>
    <x v="0"/>
    <x v="0"/>
    <x v="2"/>
    <n v="50"/>
    <n v="165000"/>
    <n v="8250000"/>
    <n v="210000"/>
    <n v="10500000"/>
    <n v="2250000"/>
  </r>
  <r>
    <x v="156"/>
    <x v="0"/>
    <x v="0"/>
    <x v="0"/>
    <n v="50"/>
    <n v="145000"/>
    <n v="7250000"/>
    <n v="225000"/>
    <n v="11250000"/>
    <n v="4000000"/>
  </r>
  <r>
    <x v="157"/>
    <x v="0"/>
    <x v="0"/>
    <x v="1"/>
    <n v="40"/>
    <n v="145000"/>
    <n v="5800000"/>
    <n v="210000"/>
    <n v="8400000"/>
    <n v="2600000"/>
  </r>
  <r>
    <x v="158"/>
    <x v="0"/>
    <x v="0"/>
    <x v="2"/>
    <n v="70"/>
    <n v="105000"/>
    <n v="7350000"/>
    <n v="210000"/>
    <n v="14700000"/>
    <n v="7350000"/>
  </r>
  <r>
    <x v="159"/>
    <x v="1"/>
    <x v="0"/>
    <x v="0"/>
    <n v="50"/>
    <n v="135000"/>
    <n v="6750000"/>
    <n v="225000"/>
    <n v="11250000"/>
    <n v="4500000"/>
  </r>
  <r>
    <x v="160"/>
    <x v="2"/>
    <x v="0"/>
    <x v="1"/>
    <n v="60"/>
    <n v="145000"/>
    <n v="8700000"/>
    <n v="210000"/>
    <n v="12600000"/>
    <n v="3900000"/>
  </r>
  <r>
    <x v="161"/>
    <x v="2"/>
    <x v="0"/>
    <x v="2"/>
    <n v="60"/>
    <n v="105000"/>
    <n v="6300000"/>
    <n v="210000"/>
    <n v="12600000"/>
    <n v="6300000"/>
  </r>
  <r>
    <x v="162"/>
    <x v="0"/>
    <x v="0"/>
    <x v="0"/>
    <n v="90"/>
    <n v="155000"/>
    <n v="13950000"/>
    <n v="225000"/>
    <n v="20250000"/>
    <n v="6300000"/>
  </r>
  <r>
    <x v="163"/>
    <x v="0"/>
    <x v="0"/>
    <x v="1"/>
    <n v="50"/>
    <n v="145000"/>
    <n v="7250000"/>
    <n v="210000"/>
    <n v="10500000"/>
    <n v="3250000"/>
  </r>
  <r>
    <x v="164"/>
    <x v="0"/>
    <x v="1"/>
    <x v="2"/>
    <n v="90"/>
    <n v="115000"/>
    <n v="10350000"/>
    <n v="210000"/>
    <n v="18900000"/>
    <n v="8550000"/>
  </r>
  <r>
    <x v="165"/>
    <x v="0"/>
    <x v="1"/>
    <x v="0"/>
    <n v="90"/>
    <n v="105000"/>
    <n v="9450000"/>
    <n v="225000"/>
    <n v="20250000"/>
    <n v="10800000"/>
  </r>
  <r>
    <x v="166"/>
    <x v="0"/>
    <x v="1"/>
    <x v="1"/>
    <n v="40"/>
    <n v="165000"/>
    <n v="6600000"/>
    <n v="210000"/>
    <n v="8400000"/>
    <n v="1800000"/>
  </r>
  <r>
    <x v="167"/>
    <x v="0"/>
    <x v="1"/>
    <x v="2"/>
    <n v="40"/>
    <n v="95000"/>
    <n v="3800000"/>
    <n v="210000"/>
    <n v="8400000"/>
    <n v="4600000"/>
  </r>
  <r>
    <x v="168"/>
    <x v="0"/>
    <x v="2"/>
    <x v="0"/>
    <n v="70"/>
    <n v="215000"/>
    <n v="15050000"/>
    <n v="225000"/>
    <n v="15750000"/>
    <n v="700000"/>
  </r>
  <r>
    <x v="169"/>
    <x v="1"/>
    <x v="2"/>
    <x v="1"/>
    <n v="90"/>
    <n v="175000"/>
    <n v="15750000"/>
    <n v="210000"/>
    <n v="18900000"/>
    <n v="3150000"/>
  </r>
  <r>
    <x v="170"/>
    <x v="2"/>
    <x v="2"/>
    <x v="2"/>
    <n v="60"/>
    <n v="135000"/>
    <n v="8100000"/>
    <n v="210000"/>
    <n v="12600000"/>
    <n v="4500000"/>
  </r>
  <r>
    <x v="171"/>
    <x v="2"/>
    <x v="2"/>
    <x v="0"/>
    <n v="50"/>
    <n v="165000"/>
    <n v="8250000"/>
    <n v="225000"/>
    <n v="11250000"/>
    <n v="3000000"/>
  </r>
  <r>
    <x v="172"/>
    <x v="0"/>
    <x v="0"/>
    <x v="1"/>
    <n v="50"/>
    <n v="95000"/>
    <n v="4750000"/>
    <n v="210000"/>
    <n v="10500000"/>
    <n v="5750000"/>
  </r>
  <r>
    <x v="173"/>
    <x v="0"/>
    <x v="0"/>
    <x v="2"/>
    <n v="80"/>
    <n v="85000"/>
    <n v="6800000"/>
    <n v="210000"/>
    <n v="16800000"/>
    <n v="10000000"/>
  </r>
  <r>
    <x v="174"/>
    <x v="0"/>
    <x v="0"/>
    <x v="0"/>
    <n v="80"/>
    <n v="115000"/>
    <n v="9200000"/>
    <n v="225000"/>
    <n v="18000000"/>
    <n v="8800000"/>
  </r>
  <r>
    <x v="175"/>
    <x v="0"/>
    <x v="0"/>
    <x v="1"/>
    <n v="70"/>
    <n v="135000"/>
    <n v="9450000"/>
    <n v="210000"/>
    <n v="14700000"/>
    <n v="5250000"/>
  </r>
  <r>
    <x v="176"/>
    <x v="0"/>
    <x v="0"/>
    <x v="2"/>
    <n v="60"/>
    <n v="205000"/>
    <n v="12300000"/>
    <n v="210000"/>
    <n v="12600000"/>
    <n v="300000"/>
  </r>
  <r>
    <x v="177"/>
    <x v="0"/>
    <x v="0"/>
    <x v="0"/>
    <n v="80"/>
    <n v="165000"/>
    <n v="13200000"/>
    <n v="225000"/>
    <n v="18000000"/>
    <n v="4800000"/>
  </r>
  <r>
    <x v="178"/>
    <x v="0"/>
    <x v="0"/>
    <x v="1"/>
    <n v="90"/>
    <n v="95000"/>
    <n v="8550000"/>
    <n v="210000"/>
    <n v="18900000"/>
    <n v="10350000"/>
  </r>
  <r>
    <x v="179"/>
    <x v="1"/>
    <x v="0"/>
    <x v="2"/>
    <n v="70"/>
    <n v="155000"/>
    <n v="10850000"/>
    <n v="210000"/>
    <n v="14700000"/>
    <n v="3850000"/>
  </r>
  <r>
    <x v="180"/>
    <x v="2"/>
    <x v="0"/>
    <x v="0"/>
    <n v="60"/>
    <n v="135000"/>
    <n v="8100000"/>
    <n v="225000"/>
    <n v="13500000"/>
    <n v="5400000"/>
  </r>
  <r>
    <x v="181"/>
    <x v="2"/>
    <x v="0"/>
    <x v="1"/>
    <n v="70"/>
    <n v="115000"/>
    <n v="8050000"/>
    <n v="210000"/>
    <n v="14700000"/>
    <n v="6650000"/>
  </r>
  <r>
    <x v="182"/>
    <x v="0"/>
    <x v="0"/>
    <x v="2"/>
    <n v="90"/>
    <n v="165000"/>
    <n v="14850000"/>
    <n v="210000"/>
    <n v="18900000"/>
    <n v="4050000"/>
  </r>
  <r>
    <x v="183"/>
    <x v="0"/>
    <x v="0"/>
    <x v="0"/>
    <n v="60"/>
    <n v="105000"/>
    <n v="6300000"/>
    <n v="225000"/>
    <n v="13500000"/>
    <n v="7200000"/>
  </r>
  <r>
    <x v="184"/>
    <x v="0"/>
    <x v="1"/>
    <x v="1"/>
    <n v="80"/>
    <n v="165000"/>
    <n v="13200000"/>
    <n v="210000"/>
    <n v="16800000"/>
    <n v="3600000"/>
  </r>
  <r>
    <x v="185"/>
    <x v="0"/>
    <x v="1"/>
    <x v="2"/>
    <n v="80"/>
    <n v="195000"/>
    <n v="15600000"/>
    <n v="210000"/>
    <n v="16800000"/>
    <n v="1200000"/>
  </r>
  <r>
    <x v="186"/>
    <x v="0"/>
    <x v="1"/>
    <x v="0"/>
    <n v="70"/>
    <n v="105000"/>
    <n v="7350000"/>
    <n v="225000"/>
    <n v="15750000"/>
    <n v="8400000"/>
  </r>
  <r>
    <x v="187"/>
    <x v="0"/>
    <x v="1"/>
    <x v="1"/>
    <n v="60"/>
    <n v="165000"/>
    <n v="9900000"/>
    <n v="210000"/>
    <n v="12600000"/>
    <n v="2700000"/>
  </r>
  <r>
    <x v="188"/>
    <x v="0"/>
    <x v="2"/>
    <x v="2"/>
    <n v="90"/>
    <n v="195000"/>
    <n v="17550000"/>
    <n v="210000"/>
    <n v="18900000"/>
    <n v="1350000"/>
  </r>
  <r>
    <x v="189"/>
    <x v="1"/>
    <x v="2"/>
    <x v="0"/>
    <n v="60"/>
    <n v="165000"/>
    <n v="9900000"/>
    <n v="225000"/>
    <n v="13500000"/>
    <n v="3600000"/>
  </r>
  <r>
    <x v="190"/>
    <x v="2"/>
    <x v="2"/>
    <x v="1"/>
    <n v="40"/>
    <n v="185000"/>
    <n v="7400000"/>
    <n v="210000"/>
    <n v="8400000"/>
    <n v="1000000"/>
  </r>
  <r>
    <x v="191"/>
    <x v="2"/>
    <x v="2"/>
    <x v="2"/>
    <n v="80"/>
    <n v="165000"/>
    <n v="13200000"/>
    <n v="210000"/>
    <n v="16800000"/>
    <n v="3600000"/>
  </r>
  <r>
    <x v="192"/>
    <x v="0"/>
    <x v="0"/>
    <x v="0"/>
    <n v="50"/>
    <n v="185000"/>
    <n v="9250000"/>
    <n v="225000"/>
    <n v="11250000"/>
    <n v="2000000"/>
  </r>
  <r>
    <x v="193"/>
    <x v="0"/>
    <x v="0"/>
    <x v="1"/>
    <n v="80"/>
    <n v="205000"/>
    <n v="16400000"/>
    <n v="210000"/>
    <n v="16800000"/>
    <n v="400000"/>
  </r>
  <r>
    <x v="194"/>
    <x v="0"/>
    <x v="0"/>
    <x v="2"/>
    <n v="80"/>
    <n v="185000"/>
    <n v="14800000"/>
    <n v="210000"/>
    <n v="16800000"/>
    <n v="2000000"/>
  </r>
  <r>
    <x v="195"/>
    <x v="0"/>
    <x v="0"/>
    <x v="0"/>
    <n v="60"/>
    <n v="105000"/>
    <n v="6300000"/>
    <n v="225000"/>
    <n v="13500000"/>
    <n v="7200000"/>
  </r>
  <r>
    <x v="196"/>
    <x v="0"/>
    <x v="0"/>
    <x v="1"/>
    <n v="40"/>
    <n v="165000"/>
    <n v="6600000"/>
    <n v="210000"/>
    <n v="8400000"/>
    <n v="1800000"/>
  </r>
  <r>
    <x v="197"/>
    <x v="0"/>
    <x v="0"/>
    <x v="2"/>
    <n v="50"/>
    <n v="115000"/>
    <n v="5750000"/>
    <n v="210000"/>
    <n v="10500000"/>
    <n v="4750000"/>
  </r>
  <r>
    <x v="198"/>
    <x v="0"/>
    <x v="0"/>
    <x v="0"/>
    <n v="60"/>
    <n v="165000"/>
    <n v="9900000"/>
    <n v="225000"/>
    <n v="13500000"/>
    <n v="3600000"/>
  </r>
  <r>
    <x v="199"/>
    <x v="1"/>
    <x v="0"/>
    <x v="1"/>
    <n v="80"/>
    <n v="195000"/>
    <n v="15600000"/>
    <n v="210000"/>
    <n v="16800000"/>
    <n v="1200000"/>
  </r>
  <r>
    <x v="200"/>
    <x v="2"/>
    <x v="0"/>
    <x v="2"/>
    <n v="90"/>
    <n v="125000"/>
    <n v="11250000"/>
    <n v="210000"/>
    <n v="18900000"/>
    <n v="7650000"/>
  </r>
  <r>
    <x v="201"/>
    <x v="2"/>
    <x v="0"/>
    <x v="0"/>
    <n v="80"/>
    <n v="115000"/>
    <n v="9200000"/>
    <n v="225000"/>
    <n v="18000000"/>
    <n v="8800000"/>
  </r>
  <r>
    <x v="202"/>
    <x v="0"/>
    <x v="0"/>
    <x v="1"/>
    <n v="60"/>
    <n v="155000"/>
    <n v="9300000"/>
    <n v="210000"/>
    <n v="12600000"/>
    <n v="3300000"/>
  </r>
  <r>
    <x v="203"/>
    <x v="0"/>
    <x v="0"/>
    <x v="2"/>
    <n v="60"/>
    <n v="145000"/>
    <n v="8700000"/>
    <n v="210000"/>
    <n v="12600000"/>
    <n v="3900000"/>
  </r>
  <r>
    <x v="204"/>
    <x v="0"/>
    <x v="1"/>
    <x v="0"/>
    <n v="60"/>
    <n v="115000"/>
    <n v="6900000"/>
    <n v="225000"/>
    <n v="13500000"/>
    <n v="6600000"/>
  </r>
  <r>
    <x v="205"/>
    <x v="0"/>
    <x v="1"/>
    <x v="1"/>
    <n v="70"/>
    <n v="155000"/>
    <n v="10850000"/>
    <n v="210000"/>
    <n v="14700000"/>
    <n v="3850000"/>
  </r>
  <r>
    <x v="206"/>
    <x v="0"/>
    <x v="1"/>
    <x v="2"/>
    <n v="50"/>
    <n v="155000"/>
    <n v="7750000"/>
    <n v="210000"/>
    <n v="10500000"/>
    <n v="2750000"/>
  </r>
  <r>
    <x v="207"/>
    <x v="0"/>
    <x v="1"/>
    <x v="0"/>
    <n v="50"/>
    <n v="105000"/>
    <n v="5250000"/>
    <n v="225000"/>
    <n v="11250000"/>
    <n v="6000000"/>
  </r>
  <r>
    <x v="208"/>
    <x v="0"/>
    <x v="2"/>
    <x v="1"/>
    <n v="80"/>
    <n v="155000"/>
    <n v="12400000"/>
    <n v="210000"/>
    <n v="16800000"/>
    <n v="4400000"/>
  </r>
  <r>
    <x v="209"/>
    <x v="1"/>
    <x v="2"/>
    <x v="2"/>
    <n v="70"/>
    <n v="205000"/>
    <n v="14350000"/>
    <n v="210000"/>
    <n v="14700000"/>
    <n v="350000"/>
  </r>
  <r>
    <x v="210"/>
    <x v="2"/>
    <x v="2"/>
    <x v="0"/>
    <n v="60"/>
    <n v="195000"/>
    <n v="11700000"/>
    <n v="225000"/>
    <n v="13500000"/>
    <n v="1800000"/>
  </r>
  <r>
    <x v="211"/>
    <x v="2"/>
    <x v="2"/>
    <x v="1"/>
    <n v="40"/>
    <n v="125000"/>
    <n v="5000000"/>
    <n v="210000"/>
    <n v="8400000"/>
    <n v="3400000"/>
  </r>
  <r>
    <x v="212"/>
    <x v="3"/>
    <x v="3"/>
    <x v="3"/>
    <m/>
    <m/>
    <m/>
    <m/>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ber_Material1" xr10:uid="{62C0C7C0-66F7-F74F-A66D-CFC1B1C3E176}" sourceName="Sumber Material">
  <data>
    <tabular pivotCacheId="148282990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4BBC06B0-0400-DC44-8DC8-F8535A8145C9}" sourceName="Sales">
  <data>
    <tabular pivotCacheId="1482829902">
      <items count="4">
        <i x="0" s="1"/>
        <i x="2" s="1"/>
        <i x="1"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1" xr10:uid="{96ADF244-90BD-4D49-AB88-DF1BA61E353E}" sourceName="Material">
  <data>
    <tabular pivotCacheId="1482829902">
      <items count="4">
        <i x="1" s="1"/>
        <i x="2"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mber Material 1" xr10:uid="{4C5D938F-13D0-444E-A112-DE6D42A9A04F}" cache="Slicer_Sumber_Material1" caption="Sumber Material" style="SlicerStyleLight6" rowHeight="230716"/>
  <slicer name="Sales 1" xr10:uid="{47E6EAC2-5A62-5F48-8627-D389B3DF6BDB}" cache="Slicer_Sales1" caption="Sales" style="SlicerStyleLight6" rowHeight="230716"/>
  <slicer name="Material 1" xr10:uid="{CDE6EDA3-8636-BB4B-BA6B-0FD26D20957C}" cache="Slicer_Material1" caption="Material" style="SlicerStyleDark6"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1" xr10:uid="{8242F4E8-24DE-0841-8105-DAED3CD21577}" sourceName="Tanggal">
  <state minimalRefreshVersion="6" lastRefreshVersion="6" pivotCacheId="148282990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1" xr10:uid="{F2321846-14A9-6549-A455-0DC28F0449CD}" cache="NativeTimeline_Tanggal1" caption="Tanggal" level="2" selectionLevel="2" scrollPosition="2025-05-08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ED94-6494-804C-8EE6-3E4D61C2695A}">
  <dimension ref="A1:Q40"/>
  <sheetViews>
    <sheetView tabSelected="1" zoomScaleNormal="100" workbookViewId="0">
      <selection activeCell="A5" sqref="A5"/>
    </sheetView>
  </sheetViews>
  <sheetFormatPr baseColWidth="10" defaultRowHeight="15" x14ac:dyDescent="0.2"/>
  <cols>
    <col min="1" max="1" width="6.5" customWidth="1"/>
    <col min="3" max="3" width="12.83203125" bestFit="1" customWidth="1"/>
    <col min="5" max="5" width="11.1640625" bestFit="1" customWidth="1"/>
    <col min="6" max="6" width="12.83203125" bestFit="1" customWidth="1"/>
    <col min="8" max="8" width="11.6640625" customWidth="1"/>
    <col min="11" max="11" width="14.83203125" customWidth="1"/>
    <col min="15" max="15" width="10.83203125" customWidth="1"/>
  </cols>
  <sheetData>
    <row r="1" spans="1:17" x14ac:dyDescent="0.2">
      <c r="A1" s="1"/>
      <c r="B1" s="6"/>
      <c r="C1" s="6"/>
      <c r="D1" s="6"/>
      <c r="E1" s="6"/>
      <c r="F1" s="6"/>
      <c r="G1" s="6"/>
      <c r="H1" s="6"/>
      <c r="I1" s="6"/>
      <c r="J1" s="6"/>
      <c r="K1" s="6"/>
      <c r="L1" s="6"/>
      <c r="M1" s="6"/>
      <c r="N1" s="6"/>
      <c r="O1" s="6"/>
      <c r="P1" s="6"/>
      <c r="Q1" s="1"/>
    </row>
    <row r="2" spans="1:17" ht="73" customHeight="1" x14ac:dyDescent="0.2">
      <c r="A2" s="2"/>
      <c r="B2" s="5" t="s">
        <v>0</v>
      </c>
      <c r="C2" s="5"/>
      <c r="D2" s="5"/>
      <c r="E2" s="5"/>
      <c r="F2" s="5"/>
      <c r="G2" s="5"/>
      <c r="H2" s="5"/>
      <c r="I2" s="5"/>
      <c r="J2" s="5"/>
      <c r="K2" s="5"/>
      <c r="L2" s="5"/>
      <c r="M2" s="5"/>
      <c r="N2" s="5"/>
      <c r="O2" s="5"/>
      <c r="P2" s="5"/>
      <c r="Q2" s="2"/>
    </row>
    <row r="3" spans="1:17" x14ac:dyDescent="0.2">
      <c r="A3" s="1"/>
      <c r="B3" s="6"/>
      <c r="C3" s="6"/>
      <c r="D3" s="6"/>
      <c r="E3" s="6"/>
      <c r="F3" s="6"/>
      <c r="G3" s="6"/>
      <c r="H3" s="6"/>
      <c r="I3" s="6"/>
      <c r="J3" s="6"/>
      <c r="K3" s="6"/>
      <c r="L3" s="6"/>
      <c r="M3" s="6"/>
      <c r="N3" s="6"/>
      <c r="O3" s="6"/>
      <c r="P3" s="6"/>
      <c r="Q3" s="1"/>
    </row>
    <row r="4" spans="1:17" x14ac:dyDescent="0.2">
      <c r="A4" s="2"/>
      <c r="B4" s="3"/>
      <c r="C4" s="2"/>
      <c r="D4" s="2"/>
      <c r="E4" s="2"/>
      <c r="F4" s="2"/>
      <c r="G4" s="2"/>
      <c r="H4" s="2"/>
      <c r="I4" s="2"/>
      <c r="J4" s="2"/>
      <c r="K4" s="2"/>
      <c r="L4" s="2"/>
      <c r="M4" s="2"/>
      <c r="N4" s="2"/>
      <c r="O4" s="2"/>
      <c r="P4" s="2"/>
      <c r="Q4" s="2"/>
    </row>
    <row r="5" spans="1:17" x14ac:dyDescent="0.2">
      <c r="A5" s="2"/>
      <c r="B5" s="4"/>
      <c r="C5" s="4"/>
      <c r="D5" s="4"/>
      <c r="E5" s="2"/>
      <c r="F5" s="4"/>
      <c r="G5" s="4"/>
      <c r="H5" s="4"/>
      <c r="I5" s="4"/>
      <c r="J5" s="4"/>
      <c r="K5" s="2"/>
      <c r="L5" s="4"/>
      <c r="M5" s="4"/>
      <c r="N5" s="4"/>
      <c r="O5" s="4"/>
      <c r="P5" s="2"/>
      <c r="Q5" s="2"/>
    </row>
    <row r="6" spans="1:17" x14ac:dyDescent="0.2">
      <c r="A6" s="2"/>
      <c r="B6" s="2"/>
      <c r="C6" s="2"/>
      <c r="D6" s="2"/>
      <c r="E6" s="2"/>
      <c r="F6" s="2"/>
      <c r="G6" s="2"/>
      <c r="H6" s="2"/>
      <c r="I6" s="2"/>
      <c r="J6" s="2"/>
      <c r="K6" s="2"/>
      <c r="L6" s="2"/>
      <c r="M6" s="2"/>
      <c r="N6" s="2"/>
      <c r="O6" s="2"/>
      <c r="P6" s="2"/>
      <c r="Q6" s="2"/>
    </row>
    <row r="7" spans="1:17" x14ac:dyDescent="0.2">
      <c r="A7" s="2"/>
      <c r="B7" s="2"/>
      <c r="C7" s="2"/>
      <c r="D7" s="2"/>
      <c r="E7" s="2"/>
      <c r="F7" s="2"/>
      <c r="G7" s="2"/>
      <c r="H7" s="2"/>
      <c r="I7" s="2"/>
      <c r="J7" s="2"/>
      <c r="K7" s="2"/>
      <c r="L7" s="2"/>
      <c r="M7" s="2"/>
      <c r="N7" s="2"/>
      <c r="O7" s="2"/>
      <c r="P7" s="2"/>
      <c r="Q7" s="2"/>
    </row>
    <row r="8" spans="1:17" x14ac:dyDescent="0.2">
      <c r="A8" s="2"/>
      <c r="B8" s="2"/>
      <c r="C8" s="2"/>
      <c r="D8" s="2"/>
      <c r="E8" s="2"/>
      <c r="F8" s="2"/>
      <c r="G8" s="2"/>
      <c r="H8" s="2"/>
      <c r="I8" s="2"/>
      <c r="J8" s="2"/>
      <c r="K8" s="2"/>
      <c r="L8" s="2"/>
      <c r="M8" s="2"/>
      <c r="N8" s="2"/>
      <c r="O8" s="2"/>
      <c r="P8" s="2"/>
      <c r="Q8" s="2"/>
    </row>
    <row r="9" spans="1:17" x14ac:dyDescent="0.2">
      <c r="A9" s="2"/>
      <c r="B9" s="2"/>
      <c r="C9" s="2"/>
      <c r="D9" s="2"/>
      <c r="E9" s="2"/>
      <c r="F9" s="2"/>
      <c r="G9" s="2"/>
      <c r="H9" s="2"/>
      <c r="I9" s="2"/>
      <c r="J9" s="2"/>
      <c r="K9" s="2"/>
      <c r="L9" s="2"/>
      <c r="M9" s="2"/>
      <c r="N9" s="2"/>
      <c r="O9" s="2"/>
      <c r="P9" s="2"/>
      <c r="Q9" s="2"/>
    </row>
    <row r="10" spans="1:17" x14ac:dyDescent="0.2">
      <c r="A10" s="2"/>
      <c r="B10" s="2"/>
      <c r="C10" s="2"/>
      <c r="D10" s="2"/>
      <c r="E10" s="2"/>
      <c r="F10" s="2"/>
      <c r="G10" s="2"/>
      <c r="H10" s="2"/>
      <c r="I10" s="2"/>
      <c r="J10" s="2"/>
      <c r="K10" s="2"/>
      <c r="L10" s="2"/>
      <c r="M10" s="2"/>
      <c r="N10" s="2"/>
      <c r="O10" s="2"/>
      <c r="P10" s="2"/>
      <c r="Q10" s="2"/>
    </row>
    <row r="11" spans="1:17" x14ac:dyDescent="0.2">
      <c r="A11" s="2"/>
      <c r="B11" s="2"/>
      <c r="C11" s="2"/>
      <c r="D11" s="2"/>
      <c r="E11" s="2"/>
      <c r="F11" s="2"/>
      <c r="G11" s="2"/>
      <c r="H11" s="2"/>
      <c r="I11" s="2"/>
      <c r="J11" s="2"/>
      <c r="K11" s="2"/>
      <c r="L11" s="2"/>
      <c r="M11" s="2"/>
      <c r="N11" s="2"/>
      <c r="O11" s="2"/>
      <c r="P11" s="2"/>
      <c r="Q11" s="2"/>
    </row>
    <row r="12" spans="1:17" x14ac:dyDescent="0.2">
      <c r="A12" s="2"/>
      <c r="B12" s="2"/>
      <c r="C12" s="2"/>
      <c r="D12" s="2"/>
      <c r="E12" s="2"/>
      <c r="F12" s="2"/>
      <c r="G12" s="2"/>
      <c r="H12" s="2"/>
      <c r="I12" s="2"/>
      <c r="J12" s="2"/>
      <c r="K12" s="2"/>
      <c r="L12" s="2"/>
      <c r="M12" s="2"/>
      <c r="N12" s="2"/>
      <c r="O12" s="2"/>
      <c r="P12" s="2"/>
      <c r="Q12" s="2"/>
    </row>
    <row r="13" spans="1:17" x14ac:dyDescent="0.2">
      <c r="A13" s="2"/>
      <c r="B13" s="2"/>
      <c r="C13" s="2"/>
      <c r="D13" s="2"/>
      <c r="E13" s="2"/>
      <c r="F13" s="2"/>
      <c r="G13" s="2"/>
      <c r="H13" s="2"/>
      <c r="I13" s="2"/>
      <c r="J13" s="2"/>
      <c r="K13" s="2"/>
      <c r="L13" s="2"/>
      <c r="M13" s="2"/>
      <c r="N13" s="2"/>
      <c r="O13" s="2"/>
      <c r="P13" s="2"/>
      <c r="Q13" s="2"/>
    </row>
    <row r="14" spans="1:17" x14ac:dyDescent="0.2">
      <c r="A14" s="2"/>
      <c r="B14" s="2"/>
      <c r="C14" s="2"/>
      <c r="D14" s="2"/>
      <c r="E14" s="2"/>
      <c r="F14" s="2"/>
      <c r="G14" s="2"/>
      <c r="H14" s="2"/>
      <c r="I14" s="2"/>
      <c r="J14" s="2"/>
      <c r="K14" s="2"/>
      <c r="L14" s="2"/>
      <c r="M14" s="2"/>
      <c r="N14" s="2"/>
      <c r="O14" s="2"/>
      <c r="P14" s="2"/>
      <c r="Q14" s="2"/>
    </row>
    <row r="15" spans="1:17" x14ac:dyDescent="0.2">
      <c r="A15" s="2"/>
      <c r="B15" s="2"/>
      <c r="C15" s="2"/>
      <c r="D15" s="2"/>
      <c r="E15" s="2"/>
      <c r="F15" s="2"/>
      <c r="G15" s="2"/>
      <c r="H15" s="2"/>
      <c r="I15" s="2"/>
      <c r="J15" s="2"/>
      <c r="K15" s="2"/>
      <c r="L15" s="2"/>
      <c r="M15" s="2"/>
      <c r="N15" s="2"/>
      <c r="O15" s="2"/>
      <c r="P15" s="2"/>
      <c r="Q15" s="2"/>
    </row>
    <row r="16" spans="1:17" x14ac:dyDescent="0.2">
      <c r="A16" s="2"/>
      <c r="B16" s="2"/>
      <c r="C16" s="2"/>
      <c r="D16" s="2"/>
      <c r="E16" s="2"/>
      <c r="F16" s="2"/>
      <c r="G16" s="2"/>
      <c r="H16" s="2"/>
      <c r="I16" s="2"/>
      <c r="J16" s="2"/>
      <c r="K16" s="2"/>
      <c r="L16" s="2"/>
      <c r="M16" s="2"/>
      <c r="N16" s="2"/>
      <c r="O16" s="2"/>
      <c r="P16" s="2"/>
      <c r="Q16" s="2"/>
    </row>
    <row r="17" spans="1:17" x14ac:dyDescent="0.2">
      <c r="A17" s="2"/>
      <c r="B17" s="2"/>
      <c r="C17" s="2"/>
      <c r="D17" s="2"/>
      <c r="E17" s="2"/>
      <c r="F17" s="2"/>
      <c r="G17" s="2"/>
      <c r="H17" s="2"/>
      <c r="I17" s="2"/>
      <c r="J17" s="2"/>
      <c r="K17" s="2"/>
      <c r="L17" s="2"/>
      <c r="M17" s="2"/>
      <c r="N17" s="2"/>
      <c r="O17" s="2"/>
      <c r="P17" s="2"/>
      <c r="Q17" s="2"/>
    </row>
    <row r="18" spans="1:17" x14ac:dyDescent="0.2">
      <c r="A18" s="2"/>
      <c r="B18" s="2"/>
      <c r="C18" s="2"/>
      <c r="D18" s="2"/>
      <c r="E18" s="2"/>
      <c r="F18" s="2"/>
      <c r="G18" s="2"/>
      <c r="H18" s="2"/>
      <c r="I18" s="2"/>
      <c r="J18" s="2"/>
      <c r="K18" s="2"/>
      <c r="L18" s="2"/>
      <c r="M18" s="2"/>
      <c r="N18" s="2"/>
      <c r="O18" s="2"/>
      <c r="P18" s="2"/>
      <c r="Q18" s="2"/>
    </row>
    <row r="19" spans="1:17" x14ac:dyDescent="0.2">
      <c r="A19" s="2"/>
      <c r="B19" s="2"/>
      <c r="C19" s="2"/>
      <c r="D19" s="2"/>
      <c r="E19" s="2"/>
      <c r="F19" s="2"/>
      <c r="G19" s="2"/>
      <c r="H19" s="2"/>
      <c r="I19" s="2"/>
      <c r="J19" s="2"/>
      <c r="K19" s="2"/>
      <c r="L19" s="2"/>
      <c r="M19" s="2"/>
      <c r="N19" s="2"/>
      <c r="O19" s="2"/>
      <c r="P19" s="2"/>
      <c r="Q19" s="2"/>
    </row>
    <row r="20" spans="1:17" x14ac:dyDescent="0.2">
      <c r="A20" s="2"/>
      <c r="B20" s="2"/>
      <c r="C20" s="2"/>
      <c r="D20" s="2"/>
      <c r="E20" s="2"/>
      <c r="F20" s="2"/>
      <c r="G20" s="2"/>
      <c r="H20" s="2"/>
      <c r="I20" s="2"/>
      <c r="J20" s="2"/>
      <c r="K20" s="2"/>
      <c r="L20" s="2"/>
      <c r="M20" s="2"/>
      <c r="N20" s="2"/>
      <c r="O20" s="2"/>
      <c r="P20" s="2"/>
      <c r="Q20" s="2"/>
    </row>
    <row r="21" spans="1:17" x14ac:dyDescent="0.2">
      <c r="A21" s="2"/>
      <c r="B21" s="2"/>
      <c r="C21" s="2"/>
      <c r="D21" s="2"/>
      <c r="E21" s="2"/>
      <c r="F21" s="2"/>
      <c r="G21" s="2"/>
      <c r="H21" s="2"/>
      <c r="I21" s="2"/>
      <c r="J21" s="2"/>
      <c r="K21" s="2"/>
      <c r="L21" s="2"/>
      <c r="M21" s="2"/>
      <c r="N21" s="2"/>
      <c r="O21" s="2"/>
      <c r="P21" s="2"/>
      <c r="Q21" s="2"/>
    </row>
    <row r="22" spans="1:17" x14ac:dyDescent="0.2">
      <c r="A22" s="2"/>
      <c r="B22" s="2"/>
      <c r="C22" s="2"/>
      <c r="D22" s="2"/>
      <c r="E22" s="2"/>
      <c r="F22" s="2"/>
      <c r="G22" s="2"/>
      <c r="H22" s="2"/>
      <c r="I22" s="2"/>
      <c r="J22" s="2"/>
      <c r="K22" s="2"/>
      <c r="L22" s="2"/>
      <c r="M22" s="2"/>
      <c r="N22" s="2"/>
      <c r="O22" s="2"/>
      <c r="P22" s="2"/>
      <c r="Q22" s="2"/>
    </row>
    <row r="23" spans="1:17" x14ac:dyDescent="0.2">
      <c r="A23" s="2"/>
      <c r="B23" s="2"/>
      <c r="C23" s="2"/>
      <c r="D23" s="2"/>
      <c r="E23" s="2"/>
      <c r="F23" s="2"/>
      <c r="G23" s="2"/>
      <c r="H23" s="2"/>
      <c r="I23" s="2"/>
      <c r="J23" s="2"/>
      <c r="K23" s="2"/>
      <c r="L23" s="2"/>
      <c r="M23" s="2"/>
      <c r="N23" s="2"/>
      <c r="O23" s="2"/>
      <c r="P23" s="2"/>
      <c r="Q23" s="2"/>
    </row>
    <row r="24" spans="1:17" x14ac:dyDescent="0.2">
      <c r="A24" s="2"/>
      <c r="B24" s="2"/>
      <c r="C24" s="2"/>
      <c r="D24" s="2"/>
      <c r="E24" s="2"/>
      <c r="F24" s="2"/>
      <c r="G24" s="2"/>
      <c r="H24" s="2"/>
      <c r="I24" s="2"/>
      <c r="J24" s="2"/>
      <c r="K24" s="2"/>
      <c r="L24" s="2"/>
      <c r="M24" s="2"/>
      <c r="N24" s="2"/>
      <c r="O24" s="2"/>
      <c r="P24" s="2"/>
      <c r="Q24" s="2"/>
    </row>
    <row r="25" spans="1:17" x14ac:dyDescent="0.2">
      <c r="A25" s="2"/>
      <c r="B25" s="2"/>
      <c r="C25" s="2"/>
      <c r="D25" s="2"/>
      <c r="E25" s="2"/>
      <c r="F25" s="2"/>
      <c r="G25" s="2"/>
      <c r="H25" s="2"/>
      <c r="I25" s="2"/>
      <c r="J25" s="2"/>
      <c r="K25" s="2"/>
      <c r="L25" s="2"/>
      <c r="M25" s="2"/>
      <c r="N25" s="2"/>
      <c r="O25" s="2"/>
      <c r="P25" s="2"/>
      <c r="Q25" s="2"/>
    </row>
    <row r="26" spans="1:17" x14ac:dyDescent="0.2">
      <c r="A26" s="2"/>
      <c r="B26" s="2"/>
      <c r="C26" s="2"/>
      <c r="D26" s="2"/>
      <c r="E26" s="2"/>
      <c r="F26" s="2"/>
      <c r="G26" s="2"/>
      <c r="H26" s="2"/>
      <c r="I26" s="2"/>
      <c r="J26" s="2"/>
      <c r="K26" s="2"/>
      <c r="L26" s="2"/>
      <c r="M26" s="2"/>
      <c r="N26" s="2"/>
      <c r="O26" s="2"/>
      <c r="P26" s="2"/>
      <c r="Q26" s="2"/>
    </row>
    <row r="27" spans="1:17" x14ac:dyDescent="0.2">
      <c r="A27" s="2"/>
      <c r="B27" s="2"/>
      <c r="C27" s="2"/>
      <c r="D27" s="2"/>
      <c r="E27" s="2"/>
      <c r="F27" s="2"/>
      <c r="G27" s="2"/>
      <c r="H27" s="2"/>
      <c r="I27" s="2"/>
      <c r="J27" s="2"/>
      <c r="K27" s="2"/>
      <c r="L27" s="2"/>
      <c r="M27" s="2"/>
      <c r="N27" s="2"/>
      <c r="O27" s="2"/>
      <c r="P27" s="2"/>
      <c r="Q27" s="2"/>
    </row>
    <row r="28" spans="1:17" x14ac:dyDescent="0.2">
      <c r="A28" s="2"/>
      <c r="B28" s="2"/>
      <c r="C28" s="2"/>
      <c r="D28" s="2"/>
      <c r="E28" s="2"/>
      <c r="F28" s="2"/>
      <c r="G28" s="2"/>
      <c r="H28" s="2"/>
      <c r="I28" s="2"/>
      <c r="J28" s="2"/>
      <c r="K28" s="2"/>
      <c r="L28" s="2"/>
      <c r="M28" s="2"/>
      <c r="N28" s="2"/>
      <c r="O28" s="2"/>
      <c r="P28" s="2"/>
      <c r="Q28" s="2"/>
    </row>
    <row r="29" spans="1:17" x14ac:dyDescent="0.2">
      <c r="A29" s="2"/>
      <c r="B29" s="2"/>
      <c r="C29" s="2"/>
      <c r="D29" s="2"/>
      <c r="E29" s="2"/>
      <c r="F29" s="2"/>
      <c r="G29" s="2"/>
      <c r="H29" s="2"/>
      <c r="I29" s="2"/>
      <c r="J29" s="2"/>
      <c r="K29" s="2"/>
      <c r="L29" s="2"/>
      <c r="M29" s="2"/>
      <c r="N29" s="2"/>
      <c r="O29" s="2"/>
      <c r="P29" s="2"/>
      <c r="Q29" s="2"/>
    </row>
    <row r="30" spans="1:17" x14ac:dyDescent="0.2">
      <c r="A30" s="2"/>
      <c r="B30" s="2"/>
      <c r="C30" s="2"/>
      <c r="D30" s="2"/>
      <c r="E30" s="2"/>
      <c r="F30" s="2"/>
      <c r="G30" s="2"/>
      <c r="H30" s="2"/>
      <c r="I30" s="2"/>
      <c r="J30" s="2"/>
      <c r="K30" s="2"/>
      <c r="L30" s="2"/>
      <c r="M30" s="2"/>
      <c r="N30" s="2"/>
      <c r="O30" s="2"/>
      <c r="P30" s="2"/>
      <c r="Q30" s="2"/>
    </row>
    <row r="31" spans="1:17" x14ac:dyDescent="0.2">
      <c r="A31" s="2"/>
      <c r="B31" s="2"/>
      <c r="C31" s="2"/>
      <c r="D31" s="2"/>
      <c r="E31" s="2"/>
      <c r="F31" s="2"/>
      <c r="G31" s="2"/>
      <c r="H31" s="2"/>
      <c r="I31" s="2"/>
      <c r="J31" s="2"/>
      <c r="K31" s="2"/>
      <c r="L31" s="2"/>
      <c r="M31" s="2"/>
      <c r="N31" s="2"/>
      <c r="O31" s="2"/>
      <c r="P31" s="2"/>
      <c r="Q31" s="2"/>
    </row>
    <row r="32" spans="1:17" x14ac:dyDescent="0.2">
      <c r="A32" s="2"/>
      <c r="B32" s="2"/>
      <c r="C32" s="2"/>
      <c r="D32" s="2"/>
      <c r="E32" s="2"/>
      <c r="F32" s="2"/>
      <c r="G32" s="2"/>
      <c r="H32" s="2"/>
      <c r="I32" s="2"/>
      <c r="J32" s="2"/>
      <c r="K32" s="2"/>
      <c r="L32" s="2"/>
      <c r="M32" s="2"/>
      <c r="N32" s="2"/>
      <c r="O32" s="2"/>
      <c r="P32" s="2"/>
      <c r="Q32" s="2"/>
    </row>
    <row r="33" spans="1:17" x14ac:dyDescent="0.2">
      <c r="A33" s="2"/>
      <c r="B33" s="2"/>
      <c r="C33" s="2"/>
      <c r="D33" s="2"/>
      <c r="E33" s="2"/>
      <c r="F33" s="2"/>
      <c r="G33" s="2"/>
      <c r="H33" s="2"/>
      <c r="I33" s="2"/>
      <c r="J33" s="2"/>
      <c r="K33" s="2"/>
      <c r="L33" s="2"/>
      <c r="M33" s="2"/>
      <c r="N33" s="2"/>
      <c r="O33" s="2"/>
      <c r="P33" s="2"/>
      <c r="Q33" s="2"/>
    </row>
    <row r="34" spans="1:17" x14ac:dyDescent="0.2">
      <c r="A34" s="2"/>
      <c r="B34" s="2"/>
      <c r="C34" s="2"/>
      <c r="D34" s="2"/>
      <c r="E34" s="2"/>
      <c r="F34" s="2"/>
      <c r="G34" s="2"/>
      <c r="H34" s="2"/>
      <c r="I34" s="2"/>
      <c r="J34" s="2"/>
      <c r="K34" s="2"/>
      <c r="L34" s="2"/>
      <c r="M34" s="2"/>
      <c r="N34" s="2"/>
      <c r="O34" s="2"/>
      <c r="P34" s="2"/>
      <c r="Q34" s="2"/>
    </row>
    <row r="35" spans="1:17" x14ac:dyDescent="0.2">
      <c r="A35" s="2"/>
      <c r="B35" s="2"/>
      <c r="C35" s="2"/>
      <c r="D35" s="2"/>
      <c r="E35" s="2"/>
      <c r="F35" s="2"/>
      <c r="G35" s="2"/>
      <c r="H35" s="2"/>
      <c r="I35" s="2"/>
      <c r="J35" s="2"/>
      <c r="K35" s="2"/>
      <c r="L35" s="2"/>
      <c r="M35" s="2"/>
      <c r="N35" s="2"/>
      <c r="O35" s="2"/>
      <c r="P35" s="2"/>
      <c r="Q35" s="2"/>
    </row>
    <row r="36" spans="1:17" x14ac:dyDescent="0.2">
      <c r="A36" s="2"/>
      <c r="B36" s="2"/>
      <c r="C36" s="2"/>
      <c r="D36" s="2"/>
      <c r="E36" s="2"/>
      <c r="F36" s="2"/>
      <c r="G36" s="2"/>
      <c r="H36" s="2"/>
      <c r="I36" s="2"/>
      <c r="J36" s="2"/>
      <c r="K36" s="2"/>
      <c r="L36" s="2"/>
      <c r="M36" s="2"/>
      <c r="N36" s="2"/>
      <c r="O36" s="2"/>
      <c r="P36" s="2"/>
      <c r="Q36" s="2"/>
    </row>
    <row r="37" spans="1:17" x14ac:dyDescent="0.2">
      <c r="A37" s="2"/>
      <c r="B37" s="2"/>
      <c r="C37" s="2"/>
      <c r="D37" s="2"/>
      <c r="E37" s="2"/>
      <c r="F37" s="2"/>
      <c r="G37" s="2"/>
      <c r="H37" s="2"/>
      <c r="I37" s="2"/>
      <c r="J37" s="2"/>
      <c r="K37" s="2"/>
      <c r="L37" s="2"/>
      <c r="M37" s="2"/>
      <c r="N37" s="2"/>
      <c r="O37" s="2"/>
      <c r="P37" s="2"/>
      <c r="Q37" s="2"/>
    </row>
    <row r="38" spans="1:17" x14ac:dyDescent="0.2">
      <c r="A38" s="2"/>
      <c r="B38" s="2"/>
      <c r="C38" s="2"/>
      <c r="D38" s="2"/>
      <c r="E38" s="2"/>
      <c r="F38" s="2"/>
      <c r="G38" s="2"/>
      <c r="H38" s="2"/>
      <c r="I38" s="2"/>
      <c r="J38" s="2"/>
      <c r="K38" s="2"/>
      <c r="L38" s="2"/>
      <c r="M38" s="2"/>
      <c r="N38" s="2"/>
      <c r="O38" s="2"/>
      <c r="P38" s="2"/>
      <c r="Q38" s="2"/>
    </row>
    <row r="39" spans="1:17" x14ac:dyDescent="0.2">
      <c r="A39" s="2"/>
      <c r="B39" s="2"/>
      <c r="C39" s="2"/>
      <c r="D39" s="2"/>
      <c r="E39" s="2"/>
      <c r="F39" s="2"/>
      <c r="G39" s="2"/>
      <c r="H39" s="2"/>
      <c r="I39" s="2"/>
      <c r="J39" s="2"/>
      <c r="K39" s="2"/>
      <c r="L39" s="2"/>
      <c r="M39" s="2"/>
      <c r="N39" s="2"/>
      <c r="O39" s="2"/>
      <c r="P39" s="2"/>
      <c r="Q39" s="2"/>
    </row>
    <row r="40" spans="1:17" x14ac:dyDescent="0.2">
      <c r="A40" s="2"/>
      <c r="B40" s="2"/>
      <c r="C40" s="2"/>
      <c r="D40" s="2"/>
      <c r="E40" s="2"/>
      <c r="F40" s="2"/>
      <c r="G40" s="2"/>
      <c r="H40" s="2"/>
      <c r="I40" s="2"/>
      <c r="J40" s="2"/>
      <c r="K40" s="2"/>
      <c r="L40" s="2"/>
      <c r="M40" s="2"/>
      <c r="N40" s="2"/>
      <c r="O40" s="2"/>
      <c r="P40" s="2"/>
      <c r="Q40" s="2"/>
    </row>
  </sheetData>
  <mergeCells count="3">
    <mergeCell ref="B2:P2"/>
    <mergeCell ref="B1:P1"/>
    <mergeCell ref="B3:P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 Al Hakim</dc:creator>
  <cp:lastModifiedBy>Microsoft Office User</cp:lastModifiedBy>
  <cp:lastPrinted>2025-08-28T01:50:17Z</cp:lastPrinted>
  <dcterms:created xsi:type="dcterms:W3CDTF">2025-08-27T02:32:13Z</dcterms:created>
  <dcterms:modified xsi:type="dcterms:W3CDTF">2026-10-08T04:03:37Z</dcterms:modified>
</cp:coreProperties>
</file>